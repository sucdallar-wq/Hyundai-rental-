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BuÇalışmaKitabı"/>
  <bookViews>
    <workbookView xWindow="15" yWindow="-30" windowWidth="9150" windowHeight="7560" tabRatio="756" activeTab="3"/>
  </bookViews>
  <sheets>
    <sheet name="bakimrecete" sheetId="6" r:id="rId1"/>
    <sheet name="bakimpaket" sheetId="11" r:id="rId2"/>
    <sheet name="MakineListesi" sheetId="1" r:id="rId3"/>
    <sheet name="yedekparca" sheetId="2" r:id="rId4"/>
    <sheet name="tire" sheetId="18" r:id="rId5"/>
    <sheet name="second_hand_values" sheetId="14" r:id="rId6"/>
  </sheets>
  <definedNames>
    <definedName name="_xlnm._FilterDatabase" localSheetId="0" hidden="1">bakimrecete!$C$1:$F$479</definedName>
    <definedName name="_xlnm._FilterDatabase" localSheetId="2" hidden="1">MakineListesi!$D$1:$E$16</definedName>
    <definedName name="_xlnm._FilterDatabase" localSheetId="5" hidden="1">second_hand_values!$A$1:$F$1</definedName>
    <definedName name="_xlnm._FilterDatabase" localSheetId="4" hidden="1">tire!$L$20:$T$45</definedName>
    <definedName name="_xlnm._FilterDatabase" localSheetId="3" hidden="1">yedekparca!$A$1:$D$105</definedName>
  </definedNames>
  <calcPr calcId="145621"/>
</workbook>
</file>

<file path=xl/calcChain.xml><?xml version="1.0" encoding="utf-8"?>
<calcChain xmlns="http://schemas.openxmlformats.org/spreadsheetml/2006/main">
  <c r="A433" i="6" l="1"/>
  <c r="G432" i="6"/>
  <c r="H432" i="6" s="1"/>
  <c r="G431" i="6"/>
  <c r="H431" i="6" s="1"/>
  <c r="G430" i="6"/>
  <c r="H430" i="6" s="1"/>
  <c r="G429" i="6"/>
  <c r="H429" i="6" s="1"/>
  <c r="G428" i="6"/>
  <c r="H428" i="6" s="1"/>
  <c r="G427" i="6"/>
  <c r="H427" i="6" s="1"/>
  <c r="A426" i="6"/>
  <c r="G425" i="6"/>
  <c r="H425" i="6" s="1"/>
  <c r="H424" i="6"/>
  <c r="G424" i="6"/>
  <c r="G423" i="6"/>
  <c r="H423" i="6" s="1"/>
  <c r="A422" i="6"/>
  <c r="G421" i="6"/>
  <c r="H421" i="6" s="1"/>
  <c r="G420" i="6"/>
  <c r="H420" i="6" s="1"/>
  <c r="H422" i="6" l="1"/>
  <c r="H426" i="6"/>
  <c r="H433" i="6"/>
  <c r="A480" i="6"/>
  <c r="A472" i="6"/>
  <c r="A466" i="6"/>
  <c r="A463" i="6"/>
  <c r="A455" i="6"/>
  <c r="A451" i="6"/>
  <c r="A448" i="6"/>
  <c r="A440" i="6"/>
  <c r="A436" i="6"/>
  <c r="A419" i="6"/>
  <c r="A412" i="6"/>
  <c r="A408" i="6"/>
  <c r="A405" i="6"/>
  <c r="A397" i="6"/>
  <c r="A393" i="6"/>
  <c r="A390" i="6"/>
  <c r="A382" i="6"/>
  <c r="A378" i="6"/>
  <c r="A375" i="6"/>
  <c r="A367" i="6"/>
  <c r="A363" i="6"/>
  <c r="A360" i="6"/>
  <c r="A352" i="6"/>
  <c r="A348" i="6"/>
  <c r="A345" i="6"/>
  <c r="A321" i="6"/>
  <c r="A301" i="6"/>
  <c r="A292" i="6"/>
  <c r="A285" i="6"/>
  <c r="A265" i="6"/>
  <c r="A247" i="6"/>
  <c r="A235" i="6"/>
  <c r="A229" i="6"/>
  <c r="A222" i="6"/>
  <c r="A204" i="6"/>
  <c r="A188" i="6"/>
  <c r="A178" i="6"/>
  <c r="A171" i="6"/>
  <c r="A164" i="6"/>
  <c r="A146" i="6"/>
  <c r="A129" i="6"/>
  <c r="A119" i="6"/>
  <c r="A112" i="6"/>
  <c r="A105" i="6"/>
  <c r="A90" i="6"/>
  <c r="A76" i="6"/>
  <c r="A68" i="6"/>
  <c r="A61" i="6"/>
  <c r="A54" i="6"/>
  <c r="A38" i="6"/>
  <c r="A23" i="6"/>
  <c r="A15" i="6"/>
  <c r="A8" i="6"/>
  <c r="A481" i="6" l="1"/>
  <c r="G3" i="6" l="1"/>
  <c r="H3" i="6" s="1"/>
  <c r="G5" i="6"/>
  <c r="H5" i="6" s="1"/>
  <c r="G6" i="6"/>
  <c r="H6" i="6" s="1"/>
  <c r="G7" i="6"/>
  <c r="H7" i="6" s="1"/>
  <c r="G10" i="6"/>
  <c r="H10" i="6" s="1"/>
  <c r="G12" i="6"/>
  <c r="H12" i="6" s="1"/>
  <c r="G13" i="6"/>
  <c r="H13" i="6" s="1"/>
  <c r="G14" i="6"/>
  <c r="H14" i="6" s="1"/>
  <c r="G17" i="6"/>
  <c r="H17" i="6" s="1"/>
  <c r="G22" i="6"/>
  <c r="H22" i="6" s="1"/>
  <c r="G25" i="6"/>
  <c r="H25" i="6" s="1"/>
  <c r="G30" i="6"/>
  <c r="H30" i="6" s="1"/>
  <c r="G31" i="6"/>
  <c r="H31" i="6" s="1"/>
  <c r="G32" i="6"/>
  <c r="H32" i="6" s="1"/>
  <c r="G37" i="6"/>
  <c r="H37" i="6" s="1"/>
  <c r="G40" i="6"/>
  <c r="H40" i="6" s="1"/>
  <c r="G45" i="6"/>
  <c r="H45" i="6" s="1"/>
  <c r="G46" i="6"/>
  <c r="H46" i="6" s="1"/>
  <c r="G47" i="6"/>
  <c r="H47" i="6" s="1"/>
  <c r="G52" i="6"/>
  <c r="H52" i="6" s="1"/>
  <c r="G53" i="6"/>
  <c r="H53" i="6" s="1"/>
  <c r="G56" i="6"/>
  <c r="H56" i="6" s="1"/>
  <c r="G58" i="6"/>
  <c r="H58" i="6" s="1"/>
  <c r="G59" i="6"/>
  <c r="H59" i="6" s="1"/>
  <c r="G60" i="6"/>
  <c r="H60" i="6" s="1"/>
  <c r="G63" i="6"/>
  <c r="H63" i="6" s="1"/>
  <c r="G65" i="6"/>
  <c r="H65" i="6" s="1"/>
  <c r="G66" i="6"/>
  <c r="H66" i="6" s="1"/>
  <c r="G67" i="6"/>
  <c r="H67" i="6" s="1"/>
  <c r="G70" i="6"/>
  <c r="H70" i="6" s="1"/>
  <c r="G75" i="6"/>
  <c r="H75" i="6" s="1"/>
  <c r="G78" i="6"/>
  <c r="H78" i="6" s="1"/>
  <c r="G83" i="6"/>
  <c r="H83" i="6" s="1"/>
  <c r="G84" i="6"/>
  <c r="H84" i="6" s="1"/>
  <c r="G85" i="6"/>
  <c r="H85" i="6" s="1"/>
  <c r="G87" i="6"/>
  <c r="H87" i="6" s="1"/>
  <c r="G89" i="6"/>
  <c r="H89" i="6" s="1"/>
  <c r="G92" i="6"/>
  <c r="H92" i="6" s="1"/>
  <c r="G97" i="6"/>
  <c r="H97" i="6" s="1"/>
  <c r="G98" i="6"/>
  <c r="H98" i="6" s="1"/>
  <c r="G99" i="6"/>
  <c r="H99" i="6" s="1"/>
  <c r="G101" i="6"/>
  <c r="H101" i="6" s="1"/>
  <c r="G103" i="6"/>
  <c r="H103" i="6" s="1"/>
  <c r="G104" i="6"/>
  <c r="H104" i="6" s="1"/>
  <c r="G107" i="6"/>
  <c r="H107" i="6" s="1"/>
  <c r="G109" i="6"/>
  <c r="H109" i="6" s="1"/>
  <c r="G110" i="6"/>
  <c r="H110" i="6" s="1"/>
  <c r="G111" i="6"/>
  <c r="H111" i="6" s="1"/>
  <c r="G114" i="6"/>
  <c r="H114" i="6" s="1"/>
  <c r="G116" i="6"/>
  <c r="H116" i="6" s="1"/>
  <c r="G117" i="6"/>
  <c r="H117" i="6" s="1"/>
  <c r="G118" i="6"/>
  <c r="H118" i="6" s="1"/>
  <c r="G121" i="6"/>
  <c r="H121" i="6" s="1"/>
  <c r="G128" i="6"/>
  <c r="H128" i="6" s="1"/>
  <c r="G131" i="6"/>
  <c r="H131" i="6" s="1"/>
  <c r="G139" i="6"/>
  <c r="H139" i="6" s="1"/>
  <c r="G140" i="6"/>
  <c r="H140" i="6" s="1"/>
  <c r="G141" i="6"/>
  <c r="H141" i="6" s="1"/>
  <c r="G145" i="6"/>
  <c r="H145" i="6" s="1"/>
  <c r="G148" i="6"/>
  <c r="H148" i="6" s="1"/>
  <c r="G156" i="6"/>
  <c r="H156" i="6" s="1"/>
  <c r="G157" i="6"/>
  <c r="H157" i="6" s="1"/>
  <c r="G158" i="6"/>
  <c r="H158" i="6" s="1"/>
  <c r="G162" i="6"/>
  <c r="H162" i="6" s="1"/>
  <c r="G163" i="6"/>
  <c r="H163" i="6" s="1"/>
  <c r="G166" i="6"/>
  <c r="H166" i="6" s="1"/>
  <c r="G168" i="6"/>
  <c r="H168" i="6" s="1"/>
  <c r="G169" i="6"/>
  <c r="H169" i="6" s="1"/>
  <c r="G170" i="6"/>
  <c r="H170" i="6" s="1"/>
  <c r="G173" i="6"/>
  <c r="H173" i="6" s="1"/>
  <c r="G175" i="6"/>
  <c r="H175" i="6" s="1"/>
  <c r="G176" i="6"/>
  <c r="H176" i="6" s="1"/>
  <c r="G177" i="6"/>
  <c r="H177" i="6" s="1"/>
  <c r="G180" i="6"/>
  <c r="H180" i="6" s="1"/>
  <c r="G187" i="6"/>
  <c r="H187" i="6" s="1"/>
  <c r="G190" i="6"/>
  <c r="H190" i="6" s="1"/>
  <c r="G198" i="6"/>
  <c r="H198" i="6" s="1"/>
  <c r="G199" i="6"/>
  <c r="H199" i="6" s="1"/>
  <c r="G200" i="6"/>
  <c r="H200" i="6" s="1"/>
  <c r="G203" i="6"/>
  <c r="H203" i="6" s="1"/>
  <c r="G206" i="6"/>
  <c r="H206" i="6" s="1"/>
  <c r="G214" i="6"/>
  <c r="H214" i="6" s="1"/>
  <c r="G215" i="6"/>
  <c r="H215" i="6" s="1"/>
  <c r="G216" i="6"/>
  <c r="H216" i="6" s="1"/>
  <c r="G219" i="6"/>
  <c r="H219" i="6" s="1"/>
  <c r="G221" i="6"/>
  <c r="H221" i="6" s="1"/>
  <c r="G224" i="6"/>
  <c r="H224" i="6" s="1"/>
  <c r="G226" i="6"/>
  <c r="H226" i="6" s="1"/>
  <c r="G227" i="6"/>
  <c r="H227" i="6" s="1"/>
  <c r="G228" i="6"/>
  <c r="H228" i="6" s="1"/>
  <c r="G232" i="6"/>
  <c r="H232" i="6" s="1"/>
  <c r="G234" i="6"/>
  <c r="H234" i="6" s="1"/>
  <c r="G237" i="6"/>
  <c r="H237" i="6" s="1"/>
  <c r="G242" i="6"/>
  <c r="H242" i="6" s="1"/>
  <c r="G246" i="6"/>
  <c r="H246" i="6" s="1"/>
  <c r="G249" i="6"/>
  <c r="H249" i="6" s="1"/>
  <c r="G254" i="6"/>
  <c r="H254" i="6" s="1"/>
  <c r="G259" i="6"/>
  <c r="H259" i="6" s="1"/>
  <c r="G260" i="6"/>
  <c r="H260" i="6" s="1"/>
  <c r="G261" i="6"/>
  <c r="H261" i="6" s="1"/>
  <c r="G264" i="6"/>
  <c r="H264" i="6" s="1"/>
  <c r="G267" i="6"/>
  <c r="H267" i="6" s="1"/>
  <c r="G272" i="6"/>
  <c r="H272" i="6" s="1"/>
  <c r="G277" i="6"/>
  <c r="H277" i="6" s="1"/>
  <c r="G278" i="6"/>
  <c r="H278" i="6" s="1"/>
  <c r="G279" i="6"/>
  <c r="H279" i="6" s="1"/>
  <c r="G282" i="6"/>
  <c r="H282" i="6" s="1"/>
  <c r="G284" i="6"/>
  <c r="H284" i="6" s="1"/>
  <c r="G287" i="6"/>
  <c r="H287" i="6" s="1"/>
  <c r="G289" i="6"/>
  <c r="H289" i="6" s="1"/>
  <c r="G290" i="6"/>
  <c r="H290" i="6" s="1"/>
  <c r="G291" i="6"/>
  <c r="H291" i="6" s="1"/>
  <c r="G294" i="6"/>
  <c r="H294" i="6" s="1"/>
  <c r="G300" i="6"/>
  <c r="H300" i="6" s="1"/>
  <c r="G303" i="6"/>
  <c r="H303" i="6" s="1"/>
  <c r="G315" i="6"/>
  <c r="H315" i="6" s="1"/>
  <c r="G316" i="6"/>
  <c r="H316" i="6" s="1"/>
  <c r="G317" i="6"/>
  <c r="H317" i="6" s="1"/>
  <c r="G320" i="6"/>
  <c r="H320" i="6" s="1"/>
  <c r="G323" i="6"/>
  <c r="H323" i="6" s="1"/>
  <c r="G337" i="6"/>
  <c r="H337" i="6" s="1"/>
  <c r="G339" i="6"/>
  <c r="H339" i="6" s="1"/>
  <c r="G340" i="6"/>
  <c r="H340" i="6" s="1"/>
  <c r="G343" i="6"/>
  <c r="H343" i="6" s="1"/>
  <c r="G344" i="6"/>
  <c r="H344" i="6" s="1"/>
  <c r="G346" i="6"/>
  <c r="H346" i="6" s="1"/>
  <c r="G347" i="6"/>
  <c r="H347" i="6" s="1"/>
  <c r="G349" i="6"/>
  <c r="H349" i="6" s="1"/>
  <c r="G351" i="6"/>
  <c r="H351" i="6" s="1"/>
  <c r="G353" i="6"/>
  <c r="H353" i="6" s="1"/>
  <c r="G354" i="6"/>
  <c r="H354" i="6" s="1"/>
  <c r="G358" i="6"/>
  <c r="H358" i="6" s="1"/>
  <c r="G359" i="6"/>
  <c r="H359" i="6" s="1"/>
  <c r="G361" i="6"/>
  <c r="H361" i="6" s="1"/>
  <c r="G362" i="6"/>
  <c r="H362" i="6" s="1"/>
  <c r="G364" i="6"/>
  <c r="H364" i="6" s="1"/>
  <c r="G366" i="6"/>
  <c r="H366" i="6" s="1"/>
  <c r="G368" i="6"/>
  <c r="H368" i="6" s="1"/>
  <c r="G369" i="6"/>
  <c r="H369" i="6" s="1"/>
  <c r="G373" i="6"/>
  <c r="H373" i="6" s="1"/>
  <c r="G374" i="6"/>
  <c r="H374" i="6" s="1"/>
  <c r="G376" i="6"/>
  <c r="H376" i="6" s="1"/>
  <c r="G377" i="6"/>
  <c r="H377" i="6" s="1"/>
  <c r="G379" i="6"/>
  <c r="H379" i="6" s="1"/>
  <c r="G381" i="6"/>
  <c r="H381" i="6" s="1"/>
  <c r="G383" i="6"/>
  <c r="H383" i="6" s="1"/>
  <c r="G384" i="6"/>
  <c r="H384" i="6" s="1"/>
  <c r="G388" i="6"/>
  <c r="H388" i="6" s="1"/>
  <c r="G389" i="6"/>
  <c r="H389" i="6" s="1"/>
  <c r="G391" i="6"/>
  <c r="H391" i="6" s="1"/>
  <c r="G392" i="6"/>
  <c r="H392" i="6" s="1"/>
  <c r="G394" i="6"/>
  <c r="H394" i="6" s="1"/>
  <c r="G396" i="6"/>
  <c r="H396" i="6" s="1"/>
  <c r="G398" i="6"/>
  <c r="H398" i="6" s="1"/>
  <c r="G399" i="6"/>
  <c r="H399" i="6" s="1"/>
  <c r="G403" i="6"/>
  <c r="H403" i="6" s="1"/>
  <c r="G404" i="6"/>
  <c r="H404" i="6" s="1"/>
  <c r="G406" i="6"/>
  <c r="H406" i="6" s="1"/>
  <c r="G407" i="6"/>
  <c r="H407" i="6" s="1"/>
  <c r="G409" i="6"/>
  <c r="H409" i="6" s="1"/>
  <c r="G411" i="6"/>
  <c r="H411" i="6" s="1"/>
  <c r="G413" i="6"/>
  <c r="H413" i="6" s="1"/>
  <c r="G414" i="6"/>
  <c r="H414" i="6" s="1"/>
  <c r="G417" i="6"/>
  <c r="H417" i="6" s="1"/>
  <c r="G418" i="6"/>
  <c r="H418" i="6" s="1"/>
  <c r="G434" i="6"/>
  <c r="H434" i="6" s="1"/>
  <c r="G435" i="6"/>
  <c r="H435" i="6" s="1"/>
  <c r="G437" i="6"/>
  <c r="H437" i="6" s="1"/>
  <c r="G439" i="6"/>
  <c r="H439" i="6" s="1"/>
  <c r="G441" i="6"/>
  <c r="H441" i="6" s="1"/>
  <c r="G442" i="6"/>
  <c r="H442" i="6" s="1"/>
  <c r="G446" i="6"/>
  <c r="H446" i="6" s="1"/>
  <c r="G447" i="6"/>
  <c r="H447" i="6" s="1"/>
  <c r="G449" i="6"/>
  <c r="H449" i="6" s="1"/>
  <c r="G450" i="6"/>
  <c r="H450" i="6" s="1"/>
  <c r="G452" i="6"/>
  <c r="H452" i="6" s="1"/>
  <c r="G454" i="6"/>
  <c r="H454" i="6" s="1"/>
  <c r="G456" i="6"/>
  <c r="H456" i="6" s="1"/>
  <c r="G457" i="6"/>
  <c r="H457" i="6" s="1"/>
  <c r="G461" i="6"/>
  <c r="H461" i="6" s="1"/>
  <c r="G462" i="6"/>
  <c r="H462" i="6" s="1"/>
  <c r="G464" i="6"/>
  <c r="H464" i="6" s="1"/>
  <c r="G465" i="6"/>
  <c r="H465" i="6" s="1"/>
  <c r="G467" i="6"/>
  <c r="H467" i="6" s="1"/>
  <c r="G471" i="6"/>
  <c r="H471" i="6" s="1"/>
  <c r="G473" i="6"/>
  <c r="H473" i="6" s="1"/>
  <c r="G474" i="6"/>
  <c r="H474" i="6" s="1"/>
  <c r="G478" i="6"/>
  <c r="H478" i="6" s="1"/>
  <c r="G479" i="6"/>
  <c r="H479" i="6" s="1"/>
  <c r="H466" i="6" l="1"/>
  <c r="H451" i="6"/>
  <c r="H436" i="6"/>
  <c r="H408" i="6"/>
  <c r="H393" i="6"/>
  <c r="H378" i="6"/>
  <c r="H363" i="6"/>
  <c r="H348" i="6"/>
  <c r="C16" i="18"/>
  <c r="C15" i="18"/>
  <c r="C14" i="18"/>
  <c r="C13" i="18"/>
  <c r="C12" i="18"/>
  <c r="C11" i="18"/>
  <c r="C10" i="18"/>
  <c r="C9" i="18"/>
  <c r="B16" i="18"/>
  <c r="B15" i="18"/>
  <c r="B14" i="18"/>
  <c r="B13" i="18"/>
  <c r="B12" i="18"/>
  <c r="B11" i="18"/>
  <c r="B10" i="18"/>
  <c r="B9" i="18"/>
  <c r="B8" i="18"/>
  <c r="D208" i="11" l="1"/>
  <c r="D184" i="11"/>
  <c r="D160" i="11"/>
  <c r="D136" i="11"/>
  <c r="D202" i="11"/>
  <c r="D178" i="11"/>
  <c r="D154" i="11"/>
  <c r="D130" i="11"/>
  <c r="D196" i="11"/>
  <c r="D172" i="11"/>
  <c r="D148" i="11"/>
  <c r="D124" i="11"/>
  <c r="D199" i="11"/>
  <c r="D175" i="11"/>
  <c r="D151" i="11"/>
  <c r="D127" i="11"/>
  <c r="D190" i="11"/>
  <c r="D166" i="11"/>
  <c r="D142" i="11"/>
  <c r="D118" i="11"/>
  <c r="D121" i="11"/>
  <c r="D169" i="11"/>
  <c r="D193" i="11"/>
  <c r="D145" i="11"/>
  <c r="D205" i="11"/>
  <c r="D181" i="11"/>
  <c r="D157" i="11"/>
  <c r="D133" i="11"/>
  <c r="D211" i="11"/>
  <c r="D187" i="11"/>
  <c r="D163" i="11"/>
  <c r="D139" i="11"/>
  <c r="B2" i="18"/>
  <c r="B3" i="18"/>
  <c r="B4" i="18"/>
  <c r="B5" i="18"/>
  <c r="B6" i="18"/>
  <c r="B7" i="18"/>
  <c r="G338" i="6" l="1"/>
  <c r="H338" i="6" s="1"/>
  <c r="G125" i="6"/>
  <c r="H125" i="6" s="1"/>
  <c r="G332" i="6"/>
  <c r="H332" i="6" s="1"/>
  <c r="G333" i="6"/>
  <c r="H333" i="6" s="1"/>
  <c r="G4" i="6" l="1"/>
  <c r="H4" i="6" s="1"/>
  <c r="G29" i="6"/>
  <c r="H29" i="6" s="1"/>
  <c r="G11" i="6"/>
  <c r="H11" i="6" s="1"/>
  <c r="G44" i="6"/>
  <c r="H44" i="6" s="1"/>
  <c r="G28" i="6"/>
  <c r="H28" i="6" s="1"/>
  <c r="G20" i="6"/>
  <c r="H20" i="6" s="1"/>
  <c r="G43" i="6"/>
  <c r="H43" i="6" s="1"/>
  <c r="G299" i="6"/>
  <c r="H299" i="6" s="1"/>
  <c r="G313" i="6"/>
  <c r="H313" i="6" s="1"/>
  <c r="G335" i="6"/>
  <c r="H335" i="6" s="1"/>
  <c r="G124" i="6"/>
  <c r="H124" i="6" s="1"/>
  <c r="G194" i="6"/>
  <c r="H194" i="6" s="1"/>
  <c r="G135" i="6"/>
  <c r="H135" i="6" s="1"/>
  <c r="G152" i="6"/>
  <c r="H152" i="6" s="1"/>
  <c r="G183" i="6"/>
  <c r="H183" i="6" s="1"/>
  <c r="G240" i="6"/>
  <c r="H240" i="6" s="1"/>
  <c r="G253" i="6"/>
  <c r="H253" i="6" s="1"/>
  <c r="G210" i="6"/>
  <c r="H210" i="6" s="1"/>
  <c r="G271" i="6"/>
  <c r="H271" i="6" s="1"/>
  <c r="G137" i="6"/>
  <c r="H137" i="6" s="1"/>
  <c r="G154" i="6"/>
  <c r="H154" i="6" s="1"/>
  <c r="G186" i="6"/>
  <c r="H186" i="6" s="1"/>
  <c r="G212" i="6"/>
  <c r="H212" i="6" s="1"/>
  <c r="G196" i="6"/>
  <c r="H196" i="6" s="1"/>
  <c r="G127" i="6"/>
  <c r="H127" i="6" s="1"/>
  <c r="G298" i="6"/>
  <c r="H298" i="6" s="1"/>
  <c r="G312" i="6"/>
  <c r="H312" i="6" s="1"/>
  <c r="G334" i="6"/>
  <c r="H334" i="6" s="1"/>
  <c r="G62" i="6"/>
  <c r="H62" i="6" s="1"/>
  <c r="G77" i="6"/>
  <c r="H77" i="6" s="1"/>
  <c r="G55" i="6"/>
  <c r="H55" i="6" s="1"/>
  <c r="G69" i="6"/>
  <c r="H69" i="6" s="1"/>
  <c r="G91" i="6"/>
  <c r="H91" i="6" s="1"/>
  <c r="G296" i="6"/>
  <c r="H296" i="6" s="1"/>
  <c r="G326" i="6"/>
  <c r="H326" i="6" s="1"/>
  <c r="G306" i="6"/>
  <c r="H306" i="6" s="1"/>
  <c r="G238" i="6"/>
  <c r="H238" i="6" s="1"/>
  <c r="G251" i="6"/>
  <c r="H251" i="6" s="1"/>
  <c r="G230" i="6"/>
  <c r="H230" i="6" s="1"/>
  <c r="G269" i="6"/>
  <c r="H269" i="6" s="1"/>
  <c r="G371" i="6"/>
  <c r="H371" i="6" s="1"/>
  <c r="G386" i="6"/>
  <c r="H386" i="6" s="1"/>
  <c r="G355" i="6"/>
  <c r="H355" i="6" s="1"/>
  <c r="G328" i="6"/>
  <c r="H328" i="6" s="1"/>
  <c r="G220" i="6"/>
  <c r="H220" i="6" s="1"/>
  <c r="G308" i="6"/>
  <c r="H308" i="6" s="1"/>
  <c r="G283" i="6"/>
  <c r="H283" i="6" s="1"/>
  <c r="G48" i="6"/>
  <c r="H48" i="6" s="1"/>
  <c r="G33" i="6"/>
  <c r="H33" i="6" s="1"/>
  <c r="G356" i="6"/>
  <c r="H356" i="6" s="1"/>
  <c r="G372" i="6"/>
  <c r="H372" i="6" s="1"/>
  <c r="G387" i="6"/>
  <c r="H387" i="6" s="1"/>
  <c r="G401" i="6"/>
  <c r="H401" i="6" s="1"/>
  <c r="G416" i="6"/>
  <c r="H416" i="6" s="1"/>
  <c r="G444" i="6"/>
  <c r="H444" i="6" s="1"/>
  <c r="G80" i="6"/>
  <c r="H80" i="6" s="1"/>
  <c r="G72" i="6"/>
  <c r="H72" i="6" s="1"/>
  <c r="G94" i="6"/>
  <c r="H94" i="6" s="1"/>
  <c r="G41" i="6"/>
  <c r="H41" i="6" s="1"/>
  <c r="G21" i="6"/>
  <c r="H21" i="6" s="1"/>
  <c r="G26" i="6"/>
  <c r="H26" i="6" s="1"/>
  <c r="G36" i="6"/>
  <c r="H36" i="6" s="1"/>
  <c r="G51" i="6"/>
  <c r="H51" i="6" s="1"/>
  <c r="G311" i="6"/>
  <c r="H311" i="6" s="1"/>
  <c r="G331" i="6"/>
  <c r="H331" i="6" s="1"/>
  <c r="G476" i="6"/>
  <c r="H476" i="6" s="1"/>
  <c r="G469" i="6"/>
  <c r="H469" i="6" s="1"/>
  <c r="G438" i="6"/>
  <c r="H438" i="6" s="1"/>
  <c r="H440" i="6" s="1"/>
  <c r="G443" i="6"/>
  <c r="H443" i="6" s="1"/>
  <c r="G202" i="6"/>
  <c r="H202" i="6" s="1"/>
  <c r="G263" i="6"/>
  <c r="H263" i="6" s="1"/>
  <c r="G281" i="6"/>
  <c r="H281" i="6" s="1"/>
  <c r="G218" i="6"/>
  <c r="H218" i="6" s="1"/>
  <c r="G115" i="6"/>
  <c r="H115" i="6" s="1"/>
  <c r="G138" i="6"/>
  <c r="H138" i="6" s="1"/>
  <c r="G155" i="6"/>
  <c r="H155" i="6" s="1"/>
  <c r="G108" i="6"/>
  <c r="H108" i="6" s="1"/>
  <c r="G81" i="6"/>
  <c r="H81" i="6" s="1"/>
  <c r="G73" i="6"/>
  <c r="H73" i="6" s="1"/>
  <c r="G95" i="6"/>
  <c r="H95" i="6" s="1"/>
  <c r="G9" i="6"/>
  <c r="H9" i="6" s="1"/>
  <c r="H15" i="6" s="1"/>
  <c r="G106" i="6"/>
  <c r="H106" i="6" s="1"/>
  <c r="G120" i="6"/>
  <c r="H120" i="6" s="1"/>
  <c r="G172" i="6"/>
  <c r="H172" i="6" s="1"/>
  <c r="G24" i="6"/>
  <c r="H24" i="6" s="1"/>
  <c r="G130" i="6"/>
  <c r="H130" i="6" s="1"/>
  <c r="G147" i="6"/>
  <c r="H147" i="6" s="1"/>
  <c r="G16" i="6"/>
  <c r="H16" i="6" s="1"/>
  <c r="G113" i="6"/>
  <c r="H113" i="6" s="1"/>
  <c r="G165" i="6"/>
  <c r="H165" i="6" s="1"/>
  <c r="G179" i="6"/>
  <c r="H179" i="6" s="1"/>
  <c r="G205" i="6"/>
  <c r="H205" i="6" s="1"/>
  <c r="G2" i="6"/>
  <c r="H2" i="6" s="1"/>
  <c r="G39" i="6"/>
  <c r="H39" i="6" s="1"/>
  <c r="G189" i="6"/>
  <c r="H189" i="6" s="1"/>
  <c r="G93" i="6"/>
  <c r="H93" i="6" s="1"/>
  <c r="G74" i="6"/>
  <c r="H74" i="6" s="1"/>
  <c r="G79" i="6"/>
  <c r="H79" i="6" s="1"/>
  <c r="G256" i="6"/>
  <c r="H256" i="6" s="1"/>
  <c r="G244" i="6"/>
  <c r="H244" i="6" s="1"/>
  <c r="G274" i="6"/>
  <c r="H274" i="6" s="1"/>
  <c r="G248" i="6"/>
  <c r="H248" i="6" s="1"/>
  <c r="G236" i="6"/>
  <c r="H236" i="6" s="1"/>
  <c r="G266" i="6"/>
  <c r="H266" i="6" s="1"/>
  <c r="G223" i="6"/>
  <c r="H223" i="6" s="1"/>
  <c r="G18" i="6"/>
  <c r="H18" i="6" s="1"/>
  <c r="G35" i="6"/>
  <c r="H35" i="6" s="1"/>
  <c r="G207" i="6"/>
  <c r="H207" i="6" s="1"/>
  <c r="G268" i="6"/>
  <c r="H268" i="6" s="1"/>
  <c r="G324" i="6"/>
  <c r="H324" i="6" s="1"/>
  <c r="G191" i="6"/>
  <c r="H191" i="6" s="1"/>
  <c r="G304" i="6"/>
  <c r="H304" i="6" s="1"/>
  <c r="G50" i="6"/>
  <c r="H50" i="6" s="1"/>
  <c r="G231" i="6"/>
  <c r="H231" i="6" s="1"/>
  <c r="G402" i="6"/>
  <c r="H402" i="6" s="1"/>
  <c r="G132" i="6"/>
  <c r="H132" i="6" s="1"/>
  <c r="G149" i="6"/>
  <c r="H149" i="6" s="1"/>
  <c r="G184" i="6"/>
  <c r="H184" i="6" s="1"/>
  <c r="G297" i="6"/>
  <c r="H297" i="6" s="1"/>
  <c r="G445" i="6"/>
  <c r="H445" i="6" s="1"/>
  <c r="G460" i="6"/>
  <c r="H460" i="6" s="1"/>
  <c r="G241" i="6"/>
  <c r="H241" i="6" s="1"/>
  <c r="G250" i="6"/>
  <c r="H250" i="6" s="1"/>
  <c r="G319" i="6"/>
  <c r="H319" i="6" s="1"/>
  <c r="G342" i="6"/>
  <c r="H342" i="6" s="1"/>
  <c r="G329" i="6"/>
  <c r="H329" i="6" s="1"/>
  <c r="G309" i="6"/>
  <c r="H309" i="6" s="1"/>
  <c r="G27" i="6"/>
  <c r="H27" i="6" s="1"/>
  <c r="G19" i="6"/>
  <c r="H19" i="6" s="1"/>
  <c r="G42" i="6"/>
  <c r="H42" i="6" s="1"/>
  <c r="G185" i="6"/>
  <c r="H185" i="6" s="1"/>
  <c r="G211" i="6"/>
  <c r="H211" i="6" s="1"/>
  <c r="G195" i="6"/>
  <c r="H195" i="6" s="1"/>
  <c r="G126" i="6"/>
  <c r="H126" i="6" s="1"/>
  <c r="G136" i="6"/>
  <c r="H136" i="6" s="1"/>
  <c r="G153" i="6"/>
  <c r="H153" i="6" s="1"/>
  <c r="G307" i="6"/>
  <c r="H307" i="6" s="1"/>
  <c r="G327" i="6"/>
  <c r="H327" i="6" s="1"/>
  <c r="G286" i="6"/>
  <c r="H286" i="6" s="1"/>
  <c r="G322" i="6"/>
  <c r="H322" i="6" s="1"/>
  <c r="G293" i="6"/>
  <c r="H293" i="6" s="1"/>
  <c r="G302" i="6"/>
  <c r="H302" i="6" s="1"/>
  <c r="G257" i="6"/>
  <c r="H257" i="6" s="1"/>
  <c r="G245" i="6"/>
  <c r="H245" i="6" s="1"/>
  <c r="G275" i="6"/>
  <c r="H275" i="6" s="1"/>
  <c r="G133" i="6"/>
  <c r="H133" i="6" s="1"/>
  <c r="G150" i="6"/>
  <c r="H150" i="6" s="1"/>
  <c r="G182" i="6"/>
  <c r="H182" i="6" s="1"/>
  <c r="G208" i="6"/>
  <c r="H208" i="6" s="1"/>
  <c r="G192" i="6"/>
  <c r="H192" i="6" s="1"/>
  <c r="G123" i="6"/>
  <c r="H123" i="6" s="1"/>
  <c r="G341" i="6"/>
  <c r="H341" i="6" s="1"/>
  <c r="G318" i="6"/>
  <c r="H318" i="6" s="1"/>
  <c r="G86" i="6"/>
  <c r="H86" i="6" s="1"/>
  <c r="G100" i="6"/>
  <c r="H100" i="6" s="1"/>
  <c r="G395" i="6"/>
  <c r="H395" i="6" s="1"/>
  <c r="H397" i="6" s="1"/>
  <c r="G400" i="6"/>
  <c r="H400" i="6" s="1"/>
  <c r="G280" i="6"/>
  <c r="H280" i="6" s="1"/>
  <c r="G142" i="6"/>
  <c r="H142" i="6" s="1"/>
  <c r="G159" i="6"/>
  <c r="H159" i="6" s="1"/>
  <c r="G262" i="6"/>
  <c r="H262" i="6" s="1"/>
  <c r="G475" i="6"/>
  <c r="H475" i="6" s="1"/>
  <c r="G468" i="6"/>
  <c r="H468" i="6" s="1"/>
  <c r="G49" i="6"/>
  <c r="H49" i="6" s="1"/>
  <c r="G143" i="6"/>
  <c r="H143" i="6" s="1"/>
  <c r="G160" i="6"/>
  <c r="H160" i="6" s="1"/>
  <c r="G34" i="6"/>
  <c r="H34" i="6" s="1"/>
  <c r="G459" i="6"/>
  <c r="H459" i="6" s="1"/>
  <c r="G144" i="6"/>
  <c r="H144" i="6" s="1"/>
  <c r="G161" i="6"/>
  <c r="H161" i="6" s="1"/>
  <c r="G239" i="6"/>
  <c r="H239" i="6" s="1"/>
  <c r="G252" i="6"/>
  <c r="H252" i="6" s="1"/>
  <c r="G270" i="6"/>
  <c r="H270" i="6" s="1"/>
  <c r="G295" i="6"/>
  <c r="H295" i="6" s="1"/>
  <c r="G325" i="6"/>
  <c r="H325" i="6" s="1"/>
  <c r="G305" i="6"/>
  <c r="H305" i="6" s="1"/>
  <c r="G453" i="6"/>
  <c r="H453" i="6" s="1"/>
  <c r="H455" i="6" s="1"/>
  <c r="G458" i="6"/>
  <c r="H458" i="6" s="1"/>
  <c r="G71" i="6"/>
  <c r="H71" i="6" s="1"/>
  <c r="G88" i="6"/>
  <c r="H88" i="6" s="1"/>
  <c r="G102" i="6"/>
  <c r="H102" i="6" s="1"/>
  <c r="G470" i="6"/>
  <c r="H470" i="6" s="1"/>
  <c r="G477" i="6"/>
  <c r="H477" i="6" s="1"/>
  <c r="G217" i="6"/>
  <c r="H217" i="6" s="1"/>
  <c r="G201" i="6"/>
  <c r="H201" i="6" s="1"/>
  <c r="G330" i="6"/>
  <c r="H330" i="6" s="1"/>
  <c r="G310" i="6"/>
  <c r="H310" i="6" s="1"/>
  <c r="G357" i="6"/>
  <c r="H357" i="6" s="1"/>
  <c r="G350" i="6"/>
  <c r="H350" i="6" s="1"/>
  <c r="H352" i="6" s="1"/>
  <c r="G380" i="6"/>
  <c r="H380" i="6" s="1"/>
  <c r="H382" i="6" s="1"/>
  <c r="G385" i="6"/>
  <c r="H385" i="6" s="1"/>
  <c r="G410" i="6"/>
  <c r="H410" i="6" s="1"/>
  <c r="H412" i="6" s="1"/>
  <c r="G415" i="6"/>
  <c r="H415" i="6" s="1"/>
  <c r="H419" i="6" s="1"/>
  <c r="G365" i="6"/>
  <c r="H365" i="6" s="1"/>
  <c r="H367" i="6" s="1"/>
  <c r="G370" i="6"/>
  <c r="H370" i="6" s="1"/>
  <c r="H375" i="6" s="1"/>
  <c r="G57" i="6"/>
  <c r="H57" i="6" s="1"/>
  <c r="G64" i="6"/>
  <c r="H64" i="6" s="1"/>
  <c r="G82" i="6"/>
  <c r="H82" i="6" s="1"/>
  <c r="G96" i="6"/>
  <c r="H96" i="6" s="1"/>
  <c r="G181" i="6"/>
  <c r="H181" i="6" s="1"/>
  <c r="G134" i="6"/>
  <c r="H134" i="6" s="1"/>
  <c r="G151" i="6"/>
  <c r="H151" i="6" s="1"/>
  <c r="G122" i="6"/>
  <c r="H122" i="6" s="1"/>
  <c r="G209" i="6"/>
  <c r="H209" i="6" s="1"/>
  <c r="G193" i="6"/>
  <c r="H193" i="6" s="1"/>
  <c r="G233" i="6"/>
  <c r="H233" i="6" s="1"/>
  <c r="G255" i="6"/>
  <c r="H255" i="6" s="1"/>
  <c r="G243" i="6"/>
  <c r="H243" i="6" s="1"/>
  <c r="G273" i="6"/>
  <c r="H273" i="6" s="1"/>
  <c r="G167" i="6"/>
  <c r="H167" i="6" s="1"/>
  <c r="G276" i="6"/>
  <c r="H276" i="6" s="1"/>
  <c r="G336" i="6"/>
  <c r="H336" i="6" s="1"/>
  <c r="G225" i="6"/>
  <c r="H225" i="6" s="1"/>
  <c r="G174" i="6"/>
  <c r="H174" i="6" s="1"/>
  <c r="G213" i="6"/>
  <c r="H213" i="6" s="1"/>
  <c r="G197" i="6"/>
  <c r="H197" i="6" s="1"/>
  <c r="G258" i="6"/>
  <c r="H258" i="6" s="1"/>
  <c r="G288" i="6"/>
  <c r="H288" i="6" s="1"/>
  <c r="G314" i="6"/>
  <c r="H314" i="6" s="1"/>
  <c r="H390" i="6" l="1"/>
  <c r="D198" i="11" s="1"/>
  <c r="D209" i="11"/>
  <c r="D137" i="11"/>
  <c r="D161" i="11"/>
  <c r="D185" i="11"/>
  <c r="D203" i="11"/>
  <c r="D179" i="11"/>
  <c r="D155" i="11"/>
  <c r="D131" i="11"/>
  <c r="D200" i="11"/>
  <c r="D176" i="11"/>
  <c r="D152" i="11"/>
  <c r="D128" i="11"/>
  <c r="D206" i="11"/>
  <c r="D182" i="11"/>
  <c r="D158" i="11"/>
  <c r="D134" i="11"/>
  <c r="D204" i="11"/>
  <c r="D180" i="11"/>
  <c r="D201" i="11"/>
  <c r="D156" i="11"/>
  <c r="D191" i="11"/>
  <c r="D167" i="11"/>
  <c r="D143" i="11"/>
  <c r="D119" i="11"/>
  <c r="D195" i="11"/>
  <c r="D171" i="11"/>
  <c r="D147" i="11"/>
  <c r="D123" i="11"/>
  <c r="D194" i="11"/>
  <c r="D170" i="11"/>
  <c r="D146" i="11"/>
  <c r="D122" i="11"/>
  <c r="D197" i="11"/>
  <c r="D173" i="11"/>
  <c r="D149" i="11"/>
  <c r="D125" i="11"/>
  <c r="D32" i="11"/>
  <c r="D90" i="11"/>
  <c r="D61" i="11"/>
  <c r="D3" i="11"/>
  <c r="H8" i="6"/>
  <c r="H480" i="6"/>
  <c r="H472" i="6"/>
  <c r="H405" i="6"/>
  <c r="H463" i="6"/>
  <c r="H119" i="6"/>
  <c r="H448" i="6"/>
  <c r="H360" i="6"/>
  <c r="H345" i="6"/>
  <c r="H321" i="6"/>
  <c r="H301" i="6"/>
  <c r="H292" i="6"/>
  <c r="H285" i="6"/>
  <c r="H265" i="6"/>
  <c r="H247" i="6"/>
  <c r="H235" i="6"/>
  <c r="H229" i="6"/>
  <c r="H222" i="6"/>
  <c r="H204" i="6"/>
  <c r="H188" i="6"/>
  <c r="H178" i="6"/>
  <c r="H112" i="6"/>
  <c r="H171" i="6"/>
  <c r="H164" i="6"/>
  <c r="H146" i="6"/>
  <c r="H129" i="6"/>
  <c r="H105" i="6"/>
  <c r="H90" i="6"/>
  <c r="H76" i="6"/>
  <c r="H68" i="6"/>
  <c r="H61" i="6"/>
  <c r="H54" i="6"/>
  <c r="H38" i="6"/>
  <c r="H23" i="6"/>
  <c r="I47" i="11" l="1"/>
  <c r="I48" i="11"/>
  <c r="D150" i="11"/>
  <c r="I35" i="11" s="1"/>
  <c r="I49" i="11"/>
  <c r="D126" i="11"/>
  <c r="I34" i="11" s="1"/>
  <c r="I30" i="11"/>
  <c r="I31" i="11"/>
  <c r="D174" i="11"/>
  <c r="I36" i="11" s="1"/>
  <c r="I37" i="11"/>
  <c r="I44" i="11"/>
  <c r="I32" i="11"/>
  <c r="D36" i="11"/>
  <c r="D7" i="11"/>
  <c r="D65" i="11"/>
  <c r="D94" i="11"/>
  <c r="D24" i="11"/>
  <c r="D111" i="11"/>
  <c r="D53" i="11"/>
  <c r="D82" i="11"/>
  <c r="D207" i="11"/>
  <c r="I53" i="11" s="1"/>
  <c r="D183" i="11"/>
  <c r="D159" i="11"/>
  <c r="I41" i="11" s="1"/>
  <c r="D135" i="11"/>
  <c r="D132" i="11"/>
  <c r="I46" i="11" s="1"/>
  <c r="D4" i="11"/>
  <c r="D91" i="11"/>
  <c r="D33" i="11"/>
  <c r="D62" i="11"/>
  <c r="D72" i="11"/>
  <c r="D43" i="11"/>
  <c r="D101" i="11"/>
  <c r="D14" i="11"/>
  <c r="D108" i="11"/>
  <c r="D79" i="11"/>
  <c r="D50" i="11"/>
  <c r="D21" i="11"/>
  <c r="D213" i="11"/>
  <c r="D189" i="11"/>
  <c r="D165" i="11"/>
  <c r="D141" i="11"/>
  <c r="I52" i="11"/>
  <c r="D96" i="11"/>
  <c r="D38" i="11"/>
  <c r="D9" i="11"/>
  <c r="D67" i="11"/>
  <c r="D64" i="11"/>
  <c r="D6" i="11"/>
  <c r="D93" i="11"/>
  <c r="D35" i="11"/>
  <c r="D68" i="11"/>
  <c r="D97" i="11"/>
  <c r="D39" i="11"/>
  <c r="D10" i="11"/>
  <c r="D16" i="11"/>
  <c r="D74" i="11"/>
  <c r="D103" i="11"/>
  <c r="D45" i="11"/>
  <c r="D48" i="11"/>
  <c r="D106" i="11"/>
  <c r="D47" i="11"/>
  <c r="D19" i="11"/>
  <c r="D77" i="11"/>
  <c r="D52" i="11"/>
  <c r="D23" i="11"/>
  <c r="D81" i="11"/>
  <c r="D110" i="11"/>
  <c r="D56" i="11"/>
  <c r="D27" i="11"/>
  <c r="D85" i="11"/>
  <c r="D114" i="11"/>
  <c r="D192" i="11"/>
  <c r="D168" i="11"/>
  <c r="I28" i="11" s="1"/>
  <c r="D144" i="11"/>
  <c r="I27" i="11" s="1"/>
  <c r="D120" i="11"/>
  <c r="D177" i="11"/>
  <c r="I40" i="11" s="1"/>
  <c r="D153" i="11"/>
  <c r="I39" i="11" s="1"/>
  <c r="D129" i="11"/>
  <c r="I38" i="11" s="1"/>
  <c r="I26" i="11"/>
  <c r="I50" i="11"/>
  <c r="D212" i="11"/>
  <c r="D188" i="11"/>
  <c r="D164" i="11"/>
  <c r="D140" i="11"/>
  <c r="I59" i="11"/>
  <c r="I43" i="11"/>
  <c r="D20" i="11"/>
  <c r="D107" i="11"/>
  <c r="D49" i="11"/>
  <c r="D78" i="11"/>
  <c r="D116" i="11"/>
  <c r="D29" i="11"/>
  <c r="D58" i="11"/>
  <c r="D87" i="11"/>
  <c r="D40" i="11"/>
  <c r="D11" i="11"/>
  <c r="D69" i="11"/>
  <c r="D98" i="11"/>
  <c r="D104" i="11"/>
  <c r="D75" i="11"/>
  <c r="D17" i="11"/>
  <c r="D46" i="11"/>
  <c r="D28" i="11"/>
  <c r="D86" i="11"/>
  <c r="D57" i="11"/>
  <c r="D115" i="11"/>
  <c r="D8" i="11"/>
  <c r="D95" i="11"/>
  <c r="D37" i="11"/>
  <c r="D66" i="11"/>
  <c r="D12" i="11"/>
  <c r="D70" i="11"/>
  <c r="D99" i="11"/>
  <c r="D41" i="11"/>
  <c r="D112" i="11"/>
  <c r="D54" i="11"/>
  <c r="D25" i="11"/>
  <c r="D83" i="11"/>
  <c r="D100" i="11"/>
  <c r="D13" i="11"/>
  <c r="D42" i="11"/>
  <c r="D71" i="11"/>
  <c r="D92" i="11"/>
  <c r="D63" i="11"/>
  <c r="D5" i="11"/>
  <c r="D34" i="11"/>
  <c r="D44" i="11"/>
  <c r="D102" i="11"/>
  <c r="D15" i="11"/>
  <c r="D73" i="11"/>
  <c r="D76" i="11"/>
  <c r="D18" i="11"/>
  <c r="D105" i="11"/>
  <c r="D80" i="11"/>
  <c r="D22" i="11"/>
  <c r="D109" i="11"/>
  <c r="D51" i="11"/>
  <c r="D84" i="11"/>
  <c r="D113" i="11"/>
  <c r="D26" i="11"/>
  <c r="D55" i="11"/>
  <c r="D88" i="11"/>
  <c r="D59" i="11"/>
  <c r="D117" i="11"/>
  <c r="D30" i="11"/>
  <c r="D210" i="11"/>
  <c r="I57" i="11" s="1"/>
  <c r="D186" i="11"/>
  <c r="I56" i="11" s="1"/>
  <c r="D162" i="11"/>
  <c r="I55" i="11" s="1"/>
  <c r="D138" i="11"/>
  <c r="I54" i="11" s="1"/>
  <c r="D60" i="11"/>
  <c r="D2" i="11"/>
  <c r="D31" i="11"/>
  <c r="D89" i="11"/>
  <c r="I33" i="11"/>
  <c r="I29" i="11"/>
  <c r="I45" i="11"/>
  <c r="H481" i="6"/>
  <c r="I42" i="11" l="1"/>
  <c r="I2" i="11"/>
  <c r="I61" i="11"/>
  <c r="I17" i="11"/>
  <c r="I58" i="11"/>
  <c r="I51" i="11"/>
  <c r="I60" i="11"/>
  <c r="I3" i="11"/>
  <c r="I21" i="11"/>
  <c r="I12" i="11"/>
  <c r="I16" i="11"/>
  <c r="I8" i="11"/>
  <c r="I22" i="11"/>
  <c r="I18" i="11"/>
  <c r="I10" i="11"/>
  <c r="I23" i="11"/>
  <c r="I6" i="11"/>
  <c r="I4" i="11"/>
  <c r="I20" i="11"/>
  <c r="I11" i="11"/>
  <c r="I15" i="11"/>
  <c r="I25" i="11"/>
  <c r="I7" i="11"/>
  <c r="I5" i="11"/>
  <c r="I19" i="11"/>
  <c r="I13" i="11"/>
  <c r="I14" i="11"/>
  <c r="I24" i="11"/>
  <c r="I9" i="11"/>
</calcChain>
</file>

<file path=xl/sharedStrings.xml><?xml version="1.0" encoding="utf-8"?>
<sst xmlns="http://schemas.openxmlformats.org/spreadsheetml/2006/main" count="2975" uniqueCount="489">
  <si>
    <t>liter</t>
  </si>
  <si>
    <t>HYDBAKD01</t>
  </si>
  <si>
    <t>Periyodik Bkm İşçilik Dizel1</t>
  </si>
  <si>
    <t>HYDBAKD02</t>
  </si>
  <si>
    <t>Periyodik Bkm İşçilik Dizel2</t>
  </si>
  <si>
    <t>HYDBAKD03</t>
  </si>
  <si>
    <t>Periyodik Bkm İşçilik Dizel3</t>
  </si>
  <si>
    <t>HYDBAKD04</t>
  </si>
  <si>
    <t>Periyodik Bkm İşçilik Dizel4</t>
  </si>
  <si>
    <t>HYDBAKE01</t>
  </si>
  <si>
    <t>Periyodik Bkm. Hyundai Elektrikli 1</t>
  </si>
  <si>
    <t>HYDBAKE02</t>
  </si>
  <si>
    <t>Periyodik Bkm. Hyundai Elektrikli 2</t>
  </si>
  <si>
    <t>HYDBAKE03</t>
  </si>
  <si>
    <t>Periyodik Bkm. Hyundai Elektrikli 3</t>
  </si>
  <si>
    <t>TOTAL AT 42</t>
  </si>
  <si>
    <t xml:space="preserve">Şanzıman yağı </t>
  </si>
  <si>
    <t>TOTAL AZOLLA ZS 32</t>
  </si>
  <si>
    <t xml:space="preserve">Fren yağı </t>
  </si>
  <si>
    <t>TOTAL AZOLLA ZS 46</t>
  </si>
  <si>
    <t>Hidrolik yağı</t>
  </si>
  <si>
    <t>SAE 15W-40</t>
  </si>
  <si>
    <t xml:space="preserve">Şanzıman  yağı </t>
  </si>
  <si>
    <t xml:space="preserve">Total Dyn MPV  </t>
  </si>
  <si>
    <t xml:space="preserve">Tahrik Aksı dişli yağı </t>
  </si>
  <si>
    <t>TOTAL HBF 3</t>
  </si>
  <si>
    <t xml:space="preserve">Total Rubia 15W40 </t>
  </si>
  <si>
    <t xml:space="preserve">Motor yağı  </t>
  </si>
  <si>
    <t>TOTAL TRAXIUM GEAR 9 FE 75W-80</t>
  </si>
  <si>
    <t>TRANS. AXLE 7 80W90</t>
  </si>
  <si>
    <t>Fan kayışı</t>
  </si>
  <si>
    <t>11FA-50900</t>
  </si>
  <si>
    <t>Yakıt depo iç filtre</t>
  </si>
  <si>
    <t>11FK-20080</t>
  </si>
  <si>
    <t xml:space="preserve">Hava Filtresi dış </t>
  </si>
  <si>
    <t>11FK-20090</t>
  </si>
  <si>
    <t>Hava Filtresi iç</t>
  </si>
  <si>
    <t xml:space="preserve">Hava Filtresi iç </t>
  </si>
  <si>
    <t>11FQ-20150</t>
  </si>
  <si>
    <t>11FQ-20250</t>
  </si>
  <si>
    <t>11K9-21310</t>
  </si>
  <si>
    <t>11K9-21320</t>
  </si>
  <si>
    <t>11K9-72170</t>
  </si>
  <si>
    <t>Adblue tank filtresi</t>
  </si>
  <si>
    <t>11KA-71040</t>
  </si>
  <si>
    <t>Yakıt filtresi</t>
  </si>
  <si>
    <t xml:space="preserve">Yakıt filtresi </t>
  </si>
  <si>
    <t>Yakıt Filtresi</t>
  </si>
  <si>
    <t>11MN-03160</t>
  </si>
  <si>
    <t xml:space="preserve">Motor yağ filtresi </t>
  </si>
  <si>
    <t>11MN-03200</t>
  </si>
  <si>
    <t>11N8-70110</t>
  </si>
  <si>
    <t>11Q4-26510</t>
  </si>
  <si>
    <t>11Q4-26520</t>
  </si>
  <si>
    <t>11Q7-71010</t>
  </si>
  <si>
    <t>11WB-90100</t>
  </si>
  <si>
    <t>Klima kayışı</t>
  </si>
  <si>
    <t>14FA-50131</t>
  </si>
  <si>
    <t>15KA-72040</t>
  </si>
  <si>
    <t>Yakıt filtresi - element</t>
  </si>
  <si>
    <t>1DFQ-60200</t>
  </si>
  <si>
    <t>1DFQ-60301</t>
  </si>
  <si>
    <t>Yakıt filtresi Speratördeki</t>
  </si>
  <si>
    <t>31EE-02110</t>
  </si>
  <si>
    <t>Hidrolik havalandırma filtresi</t>
  </si>
  <si>
    <t>Hid. havalandırma filtresi</t>
  </si>
  <si>
    <t>31EE-02110-A</t>
  </si>
  <si>
    <t>31FT-05051</t>
  </si>
  <si>
    <t>Hidrolik Emiş  filtresi</t>
  </si>
  <si>
    <t>31FT-05063</t>
  </si>
  <si>
    <t>Hidrolik dönüş filtresi</t>
  </si>
  <si>
    <t>31HN-30060C</t>
  </si>
  <si>
    <t>31KK-00120</t>
  </si>
  <si>
    <t>Hidrolik hav. Filtresi</t>
  </si>
  <si>
    <t>31MH-20570</t>
  </si>
  <si>
    <t>Fren hid. Hat filtre</t>
  </si>
  <si>
    <t>31QA-02080</t>
  </si>
  <si>
    <t>31S7-00171</t>
  </si>
  <si>
    <t>37HN-30070</t>
  </si>
  <si>
    <t>3YFV-03100</t>
  </si>
  <si>
    <t>71LB-00290</t>
  </si>
  <si>
    <t>Klima Filtresi</t>
  </si>
  <si>
    <t>8YFK-81010</t>
  </si>
  <si>
    <t>Aks soğutma yağı emiş filtresi</t>
  </si>
  <si>
    <t>F14650010-A</t>
  </si>
  <si>
    <t>HF50-A0040</t>
  </si>
  <si>
    <t xml:space="preserve">Şanzıman Filtresi </t>
  </si>
  <si>
    <t>SCUN-00992</t>
  </si>
  <si>
    <t>SCUN-01993</t>
  </si>
  <si>
    <t>SCUN-01994</t>
  </si>
  <si>
    <t>XKBH-03363</t>
  </si>
  <si>
    <t>XKBH-07460</t>
  </si>
  <si>
    <t>XKBH-07475</t>
  </si>
  <si>
    <t>Fan Kayışı</t>
  </si>
  <si>
    <t>XKBU-00201</t>
  </si>
  <si>
    <t>XKBU-01089</t>
  </si>
  <si>
    <t>Klima Modül Filtresi</t>
  </si>
  <si>
    <t>ZGAQ-02400</t>
  </si>
  <si>
    <t>Ad</t>
  </si>
  <si>
    <t>XKBH-07137</t>
  </si>
  <si>
    <t>Total AT 42</t>
  </si>
  <si>
    <t xml:space="preserve">Diferansiyel yağı </t>
  </si>
  <si>
    <t>J05071404</t>
  </si>
  <si>
    <t>Litre</t>
  </si>
  <si>
    <t xml:space="preserve">Total Rubia Optima 1100 15W40 CK-4 </t>
  </si>
  <si>
    <t>Akümülatör Hat filtresi</t>
  </si>
  <si>
    <t>Yakıt filtresi Element</t>
  </si>
  <si>
    <t>Fren soğutma yağı</t>
  </si>
  <si>
    <t>30DE-9V</t>
  </si>
  <si>
    <t>50DN-9VB</t>
  </si>
  <si>
    <t>70D-9V</t>
  </si>
  <si>
    <t>100D-9V</t>
  </si>
  <si>
    <t>160D-9V</t>
  </si>
  <si>
    <t>Klima Filtresi- Modüldeki</t>
  </si>
  <si>
    <t>XKBH-07304</t>
  </si>
  <si>
    <t>11EM-21041-A</t>
  </si>
  <si>
    <t xml:space="preserve">Hava filtresi dış </t>
  </si>
  <si>
    <t>11EM-21051-A</t>
  </si>
  <si>
    <t xml:space="preserve">Hava filtresi iç </t>
  </si>
  <si>
    <t>11FQ-20110</t>
  </si>
  <si>
    <t>11FQ-20210</t>
  </si>
  <si>
    <t>11FQ-93740</t>
  </si>
  <si>
    <t>Polen dış filtre(klima)</t>
  </si>
  <si>
    <t>11LB-20310</t>
  </si>
  <si>
    <t>11LB-70030</t>
  </si>
  <si>
    <t>Seperatördeki Yakıt Filtresi</t>
  </si>
  <si>
    <t>11LG-70010</t>
  </si>
  <si>
    <t>11M8-20120</t>
  </si>
  <si>
    <t>11NA-71041</t>
  </si>
  <si>
    <t>11NA-72011</t>
  </si>
  <si>
    <t>11Q6-90510-P</t>
  </si>
  <si>
    <t>Polen iç filtre(klima)</t>
  </si>
  <si>
    <t>Yakıt filtresi Seperatördeki</t>
  </si>
  <si>
    <t>XKBH-03195</t>
  </si>
  <si>
    <t>31E3-0018-A</t>
  </si>
  <si>
    <t>Hidrolik Pilot hat Filtresi</t>
  </si>
  <si>
    <t>31FB-60020-A</t>
  </si>
  <si>
    <t>HidrolikTank Dönüş Filtresi</t>
  </si>
  <si>
    <t>31FQ-50080</t>
  </si>
  <si>
    <t>Fren hattı konnektörü</t>
  </si>
  <si>
    <t>31FV-30040</t>
  </si>
  <si>
    <t>31FY-30720</t>
  </si>
  <si>
    <t>HidrolikTank Emiş Filtresi</t>
  </si>
  <si>
    <t>SCUN-01766</t>
  </si>
  <si>
    <t>31S1-1013-A</t>
  </si>
  <si>
    <t>37HN-30080</t>
  </si>
  <si>
    <t>81FA-32300</t>
  </si>
  <si>
    <t>HidrolikTank Havalandırma Filtresi</t>
  </si>
  <si>
    <t>8YMD-10740-10</t>
  </si>
  <si>
    <t>904738400-A</t>
  </si>
  <si>
    <t>F23650200</t>
  </si>
  <si>
    <t>Hid .Hav Filtresi</t>
  </si>
  <si>
    <t>FAC1000350-A</t>
  </si>
  <si>
    <t>FHC1007100-A</t>
  </si>
  <si>
    <t>XJBR-01618</t>
  </si>
  <si>
    <t>Yakıt filtresi sedimenter</t>
  </si>
  <si>
    <t>XJBR-00921</t>
  </si>
  <si>
    <t>XJBR-01610</t>
  </si>
  <si>
    <t>XKBH-00281</t>
  </si>
  <si>
    <t>XKBH-00746</t>
  </si>
  <si>
    <t>XKBH-03295</t>
  </si>
  <si>
    <t>XKBT-01016</t>
  </si>
  <si>
    <t>1EFQ-90510</t>
  </si>
  <si>
    <t>XKCF-01290</t>
  </si>
  <si>
    <t>XKDP-00001</t>
  </si>
  <si>
    <t>0-1500</t>
  </si>
  <si>
    <t>1500-2500</t>
  </si>
  <si>
    <t>2500-3500</t>
  </si>
  <si>
    <t>3500-4500</t>
  </si>
  <si>
    <t>30D-9V</t>
  </si>
  <si>
    <t>25D-9V</t>
  </si>
  <si>
    <t>35DN-9V</t>
  </si>
  <si>
    <t>25DE-9V</t>
  </si>
  <si>
    <t>35DE-9V</t>
  </si>
  <si>
    <t>80D-9V</t>
  </si>
  <si>
    <t>none</t>
  </si>
  <si>
    <t>6.00-15-10 PRx4</t>
  </si>
  <si>
    <t>7.50-16-12 PRx4</t>
  </si>
  <si>
    <t>8.25-15-14 PRx2</t>
  </si>
  <si>
    <t>9.00-20-14 PRx2</t>
  </si>
  <si>
    <t>12.00-20-18 PRx2</t>
  </si>
  <si>
    <t>7.00-12-12 PRx2</t>
  </si>
  <si>
    <t xml:space="preserve"> 8.15-15-14 PRx2</t>
  </si>
  <si>
    <t>6.5-10-12 PRx2</t>
  </si>
  <si>
    <t xml:space="preserve">6.5-10-12 PRx2 </t>
  </si>
  <si>
    <t>7.00-12-14 PRx2</t>
  </si>
  <si>
    <t xml:space="preserve">Hidrolik Yağı </t>
  </si>
  <si>
    <t>15BTR-9</t>
  </si>
  <si>
    <t>20BT-9</t>
  </si>
  <si>
    <t>15BT-9U</t>
  </si>
  <si>
    <t>18BT-9U</t>
  </si>
  <si>
    <t>20BT-9U</t>
  </si>
  <si>
    <t>30B-9</t>
  </si>
  <si>
    <t>25BH-9</t>
  </si>
  <si>
    <t>30BH-9</t>
  </si>
  <si>
    <t>35BH-9</t>
  </si>
  <si>
    <t>30B-9U</t>
  </si>
  <si>
    <t xml:space="preserve">50B-9  </t>
  </si>
  <si>
    <t>25BE-X</t>
  </si>
  <si>
    <t>35BE-X</t>
  </si>
  <si>
    <t>25/30/35BH-9</t>
  </si>
  <si>
    <t>15/18/20BT-9U</t>
  </si>
  <si>
    <t>18×7-8x1</t>
  </si>
  <si>
    <t>18×7-8x2</t>
  </si>
  <si>
    <t>200/50-10</t>
  </si>
  <si>
    <t>15×4.5-8x2</t>
  </si>
  <si>
    <t>200/50-10x2</t>
  </si>
  <si>
    <t xml:space="preserve">15×4.5-8x2 </t>
  </si>
  <si>
    <t>23×9-10 18PRx2</t>
  </si>
  <si>
    <t>18×7-8 16PRx2</t>
  </si>
  <si>
    <t xml:space="preserve">18×7-8 16PRx2 </t>
  </si>
  <si>
    <t>23×9-10 (18PR)x2</t>
  </si>
  <si>
    <t>18×7-8 (16PR)x2</t>
  </si>
  <si>
    <t xml:space="preserve">23×9-10 (18PR)x2 </t>
  </si>
  <si>
    <t>23×10-12 (16PR)x2</t>
  </si>
  <si>
    <t>7.00-15 14PRx4</t>
  </si>
  <si>
    <t xml:space="preserve">28×12.5-15 24PRx2 </t>
  </si>
  <si>
    <t>8.15-15 16PRx2</t>
  </si>
  <si>
    <t>25/30/35BE-X</t>
  </si>
  <si>
    <t>fiyat</t>
  </si>
  <si>
    <t>birim</t>
  </si>
  <si>
    <t>Makinamodel</t>
  </si>
  <si>
    <t xml:space="preserve">Makinemodel </t>
  </si>
  <si>
    <t>önlastik kod</t>
  </si>
  <si>
    <t>Normalfiyat</t>
  </si>
  <si>
    <t xml:space="preserve">Solidfiyat </t>
  </si>
  <si>
    <t xml:space="preserve">önlastik </t>
  </si>
  <si>
    <t>arkalastik</t>
  </si>
  <si>
    <t>önçift</t>
  </si>
  <si>
    <t xml:space="preserve">arkalastik kod </t>
  </si>
  <si>
    <t>Solidfiyat</t>
  </si>
  <si>
    <t>önçift kod</t>
  </si>
  <si>
    <t>kod</t>
  </si>
  <si>
    <t>toplamsaat</t>
  </si>
  <si>
    <t xml:space="preserve">Adet </t>
  </si>
  <si>
    <t>receteid</t>
  </si>
  <si>
    <t>Dizel</t>
  </si>
  <si>
    <t>Elektrikli</t>
  </si>
  <si>
    <t>ad</t>
  </si>
  <si>
    <t>30D9V_100</t>
  </si>
  <si>
    <t>30D9V_250</t>
  </si>
  <si>
    <t>30D9V_500</t>
  </si>
  <si>
    <t>30D9V_1000</t>
  </si>
  <si>
    <t>30D9V_2000</t>
  </si>
  <si>
    <t>30DE-9V_100</t>
  </si>
  <si>
    <t>30DE-9V_250</t>
  </si>
  <si>
    <t>30DE-9V_500</t>
  </si>
  <si>
    <t>30DE-9V_1000</t>
  </si>
  <si>
    <t>30DE-9V_2000</t>
  </si>
  <si>
    <t>50DN-9VB_100</t>
  </si>
  <si>
    <t>50DN-9VB_250</t>
  </si>
  <si>
    <t>50DN-9VB_500</t>
  </si>
  <si>
    <t>50DN-9VB_1000</t>
  </si>
  <si>
    <t>50DN-9VB_2000</t>
  </si>
  <si>
    <t>70D-9V_100</t>
  </si>
  <si>
    <t>70D-9V_250</t>
  </si>
  <si>
    <t>70D-9V_500</t>
  </si>
  <si>
    <t>70D-9V_1000</t>
  </si>
  <si>
    <t>70D-9V_2000</t>
  </si>
  <si>
    <t>100D-9V_100</t>
  </si>
  <si>
    <t>100D-9V_250</t>
  </si>
  <si>
    <t>100D-9V_500</t>
  </si>
  <si>
    <t>100D-9V_1000</t>
  </si>
  <si>
    <t>100D-9V_2000</t>
  </si>
  <si>
    <t>160D-9V_100</t>
  </si>
  <si>
    <t>160D-9V_500</t>
  </si>
  <si>
    <t>160D-9V_1000</t>
  </si>
  <si>
    <t>160D-9V_2000</t>
  </si>
  <si>
    <t>15BTR-9_500</t>
  </si>
  <si>
    <t>15BTR-9_1000</t>
  </si>
  <si>
    <t>15BTR-9_2000</t>
  </si>
  <si>
    <t>20BT-9_500</t>
  </si>
  <si>
    <t>20BT-9_1000</t>
  </si>
  <si>
    <t>20BT-9_2000</t>
  </si>
  <si>
    <t>15/18/20BT-9U_500</t>
  </si>
  <si>
    <t>15/18/20BT-9U_1000</t>
  </si>
  <si>
    <t>15/18/20BT-9U_2000</t>
  </si>
  <si>
    <t>30B-9_500</t>
  </si>
  <si>
    <t>30B-9_1000</t>
  </si>
  <si>
    <t>30B-9_2000</t>
  </si>
  <si>
    <t>25/30/35BH-9_2000</t>
  </si>
  <si>
    <t xml:space="preserve">30B-9U_500 </t>
  </si>
  <si>
    <t xml:space="preserve">30B-9U_1000 </t>
  </si>
  <si>
    <t xml:space="preserve">30B-9U_2000 </t>
  </si>
  <si>
    <t xml:space="preserve">50B-9_1000  </t>
  </si>
  <si>
    <t xml:space="preserve">50B-9_500  </t>
  </si>
  <si>
    <t xml:space="preserve">50B-9_2000  </t>
  </si>
  <si>
    <t>Genel Toplam</t>
  </si>
  <si>
    <t>Toplam 30DE-9V_100</t>
  </si>
  <si>
    <t>Toplam 30DE-9V_250</t>
  </si>
  <si>
    <t>Toplam 30DE-9V_500</t>
  </si>
  <si>
    <t>Toplam 30DE-9V_1000</t>
  </si>
  <si>
    <t>Toplam 30DE-9V_2000</t>
  </si>
  <si>
    <t>Toplam 50DN-9VB_100</t>
  </si>
  <si>
    <t>Toplam 50DN-9VB_250</t>
  </si>
  <si>
    <t>Toplam 50DN-9VB_500</t>
  </si>
  <si>
    <t>Toplam 50DN-9VB_1000</t>
  </si>
  <si>
    <t>Toplam 50DN-9VB_2000</t>
  </si>
  <si>
    <t>Toplam 70D-9V_100</t>
  </si>
  <si>
    <t>Toplam 70D-9V_250</t>
  </si>
  <si>
    <t>Toplam 70D-9V_500</t>
  </si>
  <si>
    <t>Toplam 70D-9V_1000</t>
  </si>
  <si>
    <t>Toplam 70D-9V_2000</t>
  </si>
  <si>
    <t>Toplam 100D-9V_100</t>
  </si>
  <si>
    <t>Toplam 100D-9V_250</t>
  </si>
  <si>
    <t>Toplam 100D-9V_500</t>
  </si>
  <si>
    <t>Toplam 100D-9V_1000</t>
  </si>
  <si>
    <t>Toplam 100D-9V_2000</t>
  </si>
  <si>
    <t>Toplam 160D-9V_100</t>
  </si>
  <si>
    <t>Toplam 160D-9V_500</t>
  </si>
  <si>
    <t>Toplam 160D-9V_1000</t>
  </si>
  <si>
    <t>Toplam 160D-9V_2000</t>
  </si>
  <si>
    <t>Toplam 15BTR-9_500</t>
  </si>
  <si>
    <t>Toplam 15BTR-9_1000</t>
  </si>
  <si>
    <t>Toplam 15BTR-9_2000</t>
  </si>
  <si>
    <t>Toplam 20BT-9_500</t>
  </si>
  <si>
    <t>Toplam 20BT-9_1000</t>
  </si>
  <si>
    <t>Toplam 20BT-9_2000</t>
  </si>
  <si>
    <t>Toplam 30B-9_500</t>
  </si>
  <si>
    <t>Toplam 30B-9_1000</t>
  </si>
  <si>
    <t>Toplam 30B-9_2000</t>
  </si>
  <si>
    <t xml:space="preserve">Toplam 30B-9U_500 </t>
  </si>
  <si>
    <t xml:space="preserve">Toplam 30B-9U_1000 </t>
  </si>
  <si>
    <t xml:space="preserve">Toplam 30B-9U_2000 </t>
  </si>
  <si>
    <t xml:space="preserve">Toplam 50B-9_500  </t>
  </si>
  <si>
    <t xml:space="preserve">Toplam 50B-9_1000  </t>
  </si>
  <si>
    <t xml:space="preserve">Toplam 50B-9_2000  </t>
  </si>
  <si>
    <t>50DN9VB_100</t>
  </si>
  <si>
    <t>70D9V_100</t>
  </si>
  <si>
    <t>100D9V_100</t>
  </si>
  <si>
    <t>160D9V_100</t>
  </si>
  <si>
    <t>30DE9V_100</t>
  </si>
  <si>
    <t>300B-9_500</t>
  </si>
  <si>
    <t>25/30/35BH-9_500</t>
  </si>
  <si>
    <t>30B-9U_500</t>
  </si>
  <si>
    <t>50B-9_500</t>
  </si>
  <si>
    <t>25/30/35BE-X-9_500</t>
  </si>
  <si>
    <t>300B-9_1000</t>
  </si>
  <si>
    <t>25/30/35BH-9_1000</t>
  </si>
  <si>
    <t>30B-9U_1000</t>
  </si>
  <si>
    <t>50B-9_1000</t>
  </si>
  <si>
    <t>25/30/35BE-X-9_1000</t>
  </si>
  <si>
    <t>300B-9_2000</t>
  </si>
  <si>
    <t>30B-9U_2000</t>
  </si>
  <si>
    <t>50B-9_2000</t>
  </si>
  <si>
    <t>25/30/35BE-X-9_2000</t>
  </si>
  <si>
    <t>30DE9V_250</t>
  </si>
  <si>
    <t>30DE9V_500</t>
  </si>
  <si>
    <t>30DE9V_1000</t>
  </si>
  <si>
    <t>30DE9V_2000</t>
  </si>
  <si>
    <t>50DN9VB_250</t>
  </si>
  <si>
    <t>50DN9VB_500</t>
  </si>
  <si>
    <t>50DN9VB_1000</t>
  </si>
  <si>
    <t>70D9V_250</t>
  </si>
  <si>
    <t>70D9V_500</t>
  </si>
  <si>
    <t>70D9V_1000</t>
  </si>
  <si>
    <t>70D9V_2000</t>
  </si>
  <si>
    <t>100D9V_250</t>
  </si>
  <si>
    <t>100D9V_500</t>
  </si>
  <si>
    <t>100D9V_1000</t>
  </si>
  <si>
    <t>100D9V_2000</t>
  </si>
  <si>
    <t>160D9V_500</t>
  </si>
  <si>
    <t>160D9V_1000</t>
  </si>
  <si>
    <t>160D9V_2000</t>
  </si>
  <si>
    <t>50DN9VB_2000</t>
  </si>
  <si>
    <t>30DE-9V_3000</t>
  </si>
  <si>
    <t>30DE-9V_6000</t>
  </si>
  <si>
    <t>30DE-9V_9000</t>
  </si>
  <si>
    <t>50DN-9VB_3000</t>
  </si>
  <si>
    <t>50DN-9VB_6000</t>
  </si>
  <si>
    <t>50DN-9VB_9000</t>
  </si>
  <si>
    <t>70D-9V_3000</t>
  </si>
  <si>
    <t>70D-9V_6000</t>
  </si>
  <si>
    <t>70D-9V_9000</t>
  </si>
  <si>
    <t>100D-9V_3000</t>
  </si>
  <si>
    <t>100D-9V_6000</t>
  </si>
  <si>
    <t>100D-9V_9000</t>
  </si>
  <si>
    <t>160D-9V_3000</t>
  </si>
  <si>
    <t>160D-9V_6000</t>
  </si>
  <si>
    <t>160D-9V_9000</t>
  </si>
  <si>
    <t>15BTR-9_3000</t>
  </si>
  <si>
    <t>15BTR-9_6000</t>
  </si>
  <si>
    <t>15BTR-9_9000</t>
  </si>
  <si>
    <t>20BT-9_3000</t>
  </si>
  <si>
    <t>20BT-9_6000</t>
  </si>
  <si>
    <t>20BT-9_9000</t>
  </si>
  <si>
    <t>30B-9_3000</t>
  </si>
  <si>
    <t>30B-9_6000</t>
  </si>
  <si>
    <t>30B-9_9000</t>
  </si>
  <si>
    <t>30B-9U_3000</t>
  </si>
  <si>
    <t>30B-9U_6000</t>
  </si>
  <si>
    <t>30B-9U_9000</t>
  </si>
  <si>
    <t>50B-9  _2000</t>
  </si>
  <si>
    <t>50B-9  _3000</t>
  </si>
  <si>
    <t>50B-9  _6000</t>
  </si>
  <si>
    <t>50B-9  _9000</t>
  </si>
  <si>
    <t>30DN-9V</t>
  </si>
  <si>
    <t>30DN9V_100</t>
  </si>
  <si>
    <t>30DN-9V_100</t>
  </si>
  <si>
    <t>30DN-9V_250</t>
  </si>
  <si>
    <t>30DN-9V_500</t>
  </si>
  <si>
    <t>30DN-9V_1000</t>
  </si>
  <si>
    <t>30DN-9V_2000</t>
  </si>
  <si>
    <t>18BT-9U_500</t>
  </si>
  <si>
    <t>18BT-9U_1000</t>
  </si>
  <si>
    <t>18BT-9U_2000</t>
  </si>
  <si>
    <t xml:space="preserve">30BH-9_500 </t>
  </si>
  <si>
    <t xml:space="preserve">30BH-9_1000 </t>
  </si>
  <si>
    <t>30BH-9_2000</t>
  </si>
  <si>
    <t xml:space="preserve">Toplam 30BH-9_500 </t>
  </si>
  <si>
    <t xml:space="preserve">Toplam 30BH-9_1000 </t>
  </si>
  <si>
    <t xml:space="preserve">30BH-9_2000 </t>
  </si>
  <si>
    <t xml:space="preserve">Toplam 30BH-9_2000 </t>
  </si>
  <si>
    <t>Toplam 18BT-9U_500</t>
  </si>
  <si>
    <t>Toplam 18BT-9U_1000</t>
  </si>
  <si>
    <t>Toplam 18BT-9U_2000</t>
  </si>
  <si>
    <t>Toplam 30DN9V_100</t>
  </si>
  <si>
    <t>Toplam 30ND9V_250</t>
  </si>
  <si>
    <t>Toplam 30ND9V_500</t>
  </si>
  <si>
    <t>Toplam 30DN9V_1000</t>
  </si>
  <si>
    <t>Toplam 30ND9V_2000</t>
  </si>
  <si>
    <t>30BE-X_500</t>
  </si>
  <si>
    <t>Toplam 30BE-X_500</t>
  </si>
  <si>
    <t>30BE-X_1000</t>
  </si>
  <si>
    <t>Toplam 30BE-X_1000</t>
  </si>
  <si>
    <t>30BE-X_2000</t>
  </si>
  <si>
    <t>Toplam 30BE-X_2000</t>
  </si>
  <si>
    <t>30BE-X</t>
  </si>
  <si>
    <t>30DN-9V_3000</t>
  </si>
  <si>
    <t>30DN-9V_6000</t>
  </si>
  <si>
    <t>30DN-9V_9000</t>
  </si>
  <si>
    <t>18BT-9U_3000</t>
  </si>
  <si>
    <t>18BT-9U_6000</t>
  </si>
  <si>
    <t>18BT-9U_9000</t>
  </si>
  <si>
    <t>30BH-9_3000</t>
  </si>
  <si>
    <t>30BH-9_6000</t>
  </si>
  <si>
    <t>30BH-9_9000</t>
  </si>
  <si>
    <t>30BE-X_3000</t>
  </si>
  <si>
    <t>30BE-X_6000</t>
  </si>
  <si>
    <t>30BE-X_9000</t>
  </si>
  <si>
    <t>recete_id</t>
  </si>
  <si>
    <t>line_id</t>
  </si>
  <si>
    <t>parça_tanımı</t>
  </si>
  <si>
    <t>model</t>
  </si>
  <si>
    <t>fiyat_usd</t>
  </si>
  <si>
    <t>adet</t>
  </si>
  <si>
    <t>toplam_usd</t>
  </si>
  <si>
    <t>Toplam_usd</t>
  </si>
  <si>
    <t>parca_tanimi</t>
  </si>
  <si>
    <t>tire_price_usd</t>
  </si>
  <si>
    <t>tirepricesolid_usd</t>
  </si>
  <si>
    <t>annual_ working hour</t>
  </si>
  <si>
    <t>Lease period(year)</t>
  </si>
  <si>
    <t xml:space="preserve">2Hand_value(good) </t>
  </si>
  <si>
    <t xml:space="preserve">2Hand_value(avarage) </t>
  </si>
  <si>
    <t>2Hand_value(worst)</t>
  </si>
  <si>
    <t>Motor yağ filtresi</t>
  </si>
  <si>
    <t>Motor yağı</t>
  </si>
  <si>
    <t>Hava Filtresi dış</t>
  </si>
  <si>
    <t>id</t>
  </si>
  <si>
    <t>model_code</t>
  </si>
  <si>
    <t>model_name</t>
  </si>
  <si>
    <t>type</t>
  </si>
  <si>
    <t>price_usd</t>
  </si>
  <si>
    <t>30DN-9V Diesel Forklift</t>
  </si>
  <si>
    <t>30DE-9V Diesel Forklift</t>
  </si>
  <si>
    <t>50DN-9VB Diesel Forklift</t>
  </si>
  <si>
    <t>70D-9V Diesel Forklift</t>
  </si>
  <si>
    <t>100D-9V Diesel Forklift</t>
  </si>
  <si>
    <t>160D-9V Diesel Forklift</t>
  </si>
  <si>
    <t>15BTR-9 Elektrikli Forklift</t>
  </si>
  <si>
    <t>20BT-9 Elektrikli Forklift</t>
  </si>
  <si>
    <t>18BT-9U Elektrikli Forklift</t>
  </si>
  <si>
    <t>30B-9 Elektrikli Forklift</t>
  </si>
  <si>
    <t>25BH-9 Elektrikli Forklift</t>
  </si>
  <si>
    <t>30BH-9 Elektrikli Forklift</t>
  </si>
  <si>
    <t>30B-9U Elektrikli Forklift</t>
  </si>
  <si>
    <t xml:space="preserve">50B-9 Elektrikli Forklift   </t>
  </si>
  <si>
    <t>30BE-X Elektrikli Forklift</t>
  </si>
  <si>
    <t xml:space="preserve">25BH-9_500 </t>
  </si>
  <si>
    <t xml:space="preserve">25BH-9_1000 </t>
  </si>
  <si>
    <t xml:space="preserve">25BH-9_2000 </t>
  </si>
  <si>
    <t>25BH-9_2000</t>
  </si>
  <si>
    <t>25BH-9_3000</t>
  </si>
  <si>
    <t>25BH-9_6000</t>
  </si>
  <si>
    <t>25BH-9_9000</t>
  </si>
  <si>
    <t xml:space="preserve">Toplam 25BH-9_500 </t>
  </si>
  <si>
    <t xml:space="preserve">Toplam 25BH-9_1000 </t>
  </si>
  <si>
    <t xml:space="preserve">Toplam 25BH-9_2000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</si>
</sst>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$-409]#,##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10"/>
      <name val="Segoe UI"/>
      <family val="2"/>
      <charset val="162"/>
    </font>
    <font>
      <sz val="11"/>
      <color rgb="FF333333"/>
      <name val="Calibri"/>
      <family val="2"/>
      <charset val="162"/>
      <scheme val="minor"/>
    </font>
    <font>
      <sz val="9"/>
      <color rgb="FF000000"/>
      <name val="Arial"/>
      <family val="2"/>
      <charset val="162"/>
    </font>
    <font>
      <sz val="9"/>
      <name val="Arial"/>
      <family val="2"/>
      <charset val="162"/>
    </font>
    <font>
      <sz val="1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color rgb="FF333333"/>
      <name val="Arial"/>
      <family val="2"/>
      <charset val="162"/>
    </font>
    <font>
      <sz val="9"/>
      <color rgb="FF333333"/>
      <name val="Arial"/>
      <family val="2"/>
      <charset val="162"/>
    </font>
    <font>
      <sz val="12"/>
      <color theme="1"/>
      <name val="Calibri"/>
      <family val="2"/>
      <charset val="16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/>
  </cellStyleXfs>
  <cellXfs count="60">
    <xf numFmtId="0" fontId="0" fillId="0" borderId="0" xfId="0"/>
    <xf numFmtId="0" fontId="0" fillId="0" borderId="0" xfId="0" applyBorder="1"/>
    <xf numFmtId="0" fontId="0" fillId="2" borderId="0" xfId="0" applyFill="1" applyBorder="1"/>
    <xf numFmtId="0" fontId="1" fillId="2" borderId="0" xfId="0" applyNumberFormat="1" applyFont="1" applyFill="1" applyBorder="1" applyAlignment="1" applyProtection="1"/>
    <xf numFmtId="0" fontId="0" fillId="2" borderId="0" xfId="0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/>
    <xf numFmtId="0" fontId="4" fillId="2" borderId="0" xfId="0" applyFont="1" applyFill="1" applyBorder="1"/>
    <xf numFmtId="0" fontId="4" fillId="2" borderId="0" xfId="0" applyFont="1" applyFill="1" applyBorder="1" applyAlignment="1">
      <alignment horizontal="left" vertical="center" wrapText="1"/>
    </xf>
    <xf numFmtId="0" fontId="0" fillId="0" borderId="0" xfId="0" applyFont="1" applyBorder="1"/>
    <xf numFmtId="0" fontId="5" fillId="2" borderId="0" xfId="0" applyFont="1" applyFill="1" applyBorder="1" applyAlignment="1">
      <alignment horizontal="left" vertical="center"/>
    </xf>
    <xf numFmtId="0" fontId="0" fillId="2" borderId="0" xfId="0" applyFont="1" applyFill="1" applyBorder="1"/>
    <xf numFmtId="0" fontId="7" fillId="2" borderId="0" xfId="0" applyFont="1" applyFill="1" applyBorder="1" applyAlignment="1">
      <alignment horizontal="left" vertical="center"/>
    </xf>
    <xf numFmtId="0" fontId="8" fillId="2" borderId="0" xfId="0" applyFont="1" applyFill="1" applyBorder="1"/>
    <xf numFmtId="0" fontId="9" fillId="2" borderId="0" xfId="0" applyFont="1" applyFill="1" applyBorder="1"/>
    <xf numFmtId="0" fontId="0" fillId="2" borderId="0" xfId="1" applyFont="1" applyFill="1" applyBorder="1"/>
    <xf numFmtId="0" fontId="10" fillId="2" borderId="0" xfId="0" applyFont="1" applyFill="1" applyBorder="1" applyAlignment="1">
      <alignment horizontal="left" vertical="top"/>
    </xf>
    <xf numFmtId="0" fontId="2" fillId="2" borderId="0" xfId="0" applyFont="1" applyFill="1" applyBorder="1"/>
    <xf numFmtId="0" fontId="0" fillId="2" borderId="0" xfId="0" applyFill="1" applyBorder="1" applyAlignment="1">
      <alignment horizontal="left"/>
    </xf>
    <xf numFmtId="0" fontId="5" fillId="2" borderId="0" xfId="0" applyNumberFormat="1" applyFont="1" applyFill="1" applyBorder="1" applyAlignment="1" applyProtection="1"/>
    <xf numFmtId="0" fontId="5" fillId="2" borderId="0" xfId="1" applyFont="1" applyFill="1" applyBorder="1"/>
    <xf numFmtId="0" fontId="0" fillId="2" borderId="0" xfId="0" applyFill="1"/>
    <xf numFmtId="0" fontId="0" fillId="2" borderId="0" xfId="0" quotePrefix="1" applyFill="1"/>
    <xf numFmtId="0" fontId="0" fillId="0" borderId="0" xfId="0" applyAlignment="1">
      <alignment vertical="center" wrapText="1"/>
    </xf>
    <xf numFmtId="0" fontId="0" fillId="2" borderId="0" xfId="0" applyFill="1" applyBorder="1" applyAlignment="1">
      <alignment wrapText="1"/>
    </xf>
    <xf numFmtId="0" fontId="0" fillId="0" borderId="0" xfId="0" applyAlignment="1">
      <alignment vertical="center"/>
    </xf>
    <xf numFmtId="2" fontId="0" fillId="2" borderId="0" xfId="0" applyNumberFormat="1" applyFill="1" applyBorder="1" applyAlignment="1">
      <alignment vertical="center" wrapText="1"/>
    </xf>
    <xf numFmtId="0" fontId="0" fillId="0" borderId="0" xfId="0" applyFill="1" applyBorder="1"/>
    <xf numFmtId="0" fontId="1" fillId="0" borderId="0" xfId="0" applyNumberFormat="1" applyFont="1" applyFill="1" applyBorder="1" applyAlignment="1" applyProtection="1"/>
    <xf numFmtId="0" fontId="0" fillId="2" borderId="0" xfId="0" applyFont="1" applyFill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64" fontId="0" fillId="2" borderId="0" xfId="0" applyNumberFormat="1" applyFill="1" applyBorder="1" applyAlignment="1">
      <alignment wrapText="1"/>
    </xf>
    <xf numFmtId="164" fontId="0" fillId="0" borderId="0" xfId="0" applyNumberFormat="1"/>
    <xf numFmtId="0" fontId="0" fillId="0" borderId="0" xfId="0" quotePrefix="1" applyBorder="1"/>
    <xf numFmtId="0" fontId="0" fillId="0" borderId="0" xfId="0" applyFont="1" applyFill="1" applyBorder="1"/>
    <xf numFmtId="0" fontId="11" fillId="2" borderId="0" xfId="0" applyFont="1" applyFill="1"/>
    <xf numFmtId="0" fontId="11" fillId="2" borderId="0" xfId="0" quotePrefix="1" applyFont="1" applyFill="1"/>
    <xf numFmtId="0" fontId="0" fillId="2" borderId="0" xfId="0" quotePrefix="1" applyFill="1" applyBorder="1"/>
    <xf numFmtId="2" fontId="12" fillId="0" borderId="0" xfId="0" applyNumberFormat="1" applyFont="1"/>
    <xf numFmtId="2" fontId="0" fillId="2" borderId="0" xfId="0" quotePrefix="1" applyNumberFormat="1" applyFill="1"/>
    <xf numFmtId="2" fontId="0" fillId="0" borderId="0" xfId="0" quotePrefix="1" applyNumberFormat="1" applyBorder="1"/>
    <xf numFmtId="2" fontId="0" fillId="2" borderId="0" xfId="0" quotePrefix="1" applyNumberFormat="1" applyFill="1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65" fontId="0" fillId="2" borderId="0" xfId="0" applyNumberFormat="1" applyFill="1" applyBorder="1"/>
    <xf numFmtId="165" fontId="0" fillId="2" borderId="0" xfId="0" applyNumberFormat="1" applyFill="1" applyBorder="1" applyAlignment="1">
      <alignment horizontal="right" vertical="center"/>
    </xf>
    <xf numFmtId="165" fontId="0" fillId="2" borderId="0" xfId="0" applyNumberFormat="1" applyFont="1" applyFill="1" applyBorder="1"/>
    <xf numFmtId="165" fontId="0" fillId="0" borderId="0" xfId="0" applyNumberFormat="1" applyBorder="1"/>
    <xf numFmtId="165" fontId="0" fillId="0" borderId="0" xfId="0" applyNumberFormat="1"/>
    <xf numFmtId="165" fontId="12" fillId="0" borderId="0" xfId="0" applyNumberFormat="1" applyFont="1"/>
    <xf numFmtId="165" fontId="0" fillId="2" borderId="0" xfId="0" applyNumberFormat="1" applyFill="1" applyBorder="1" applyAlignment="1">
      <alignment wrapText="1"/>
    </xf>
    <xf numFmtId="165" fontId="12" fillId="0" borderId="0" xfId="0" applyNumberFormat="1" applyFont="1" applyBorder="1"/>
    <xf numFmtId="0" fontId="0" fillId="0" borderId="0" xfId="0" applyAlignment="1">
      <alignment horizontal="left" vertical="center" wrapText="1"/>
    </xf>
    <xf numFmtId="0" fontId="7" fillId="2" borderId="0" xfId="2" applyFill="1" applyBorder="1" applyAlignment="1">
      <alignment horizontal="center"/>
    </xf>
    <xf numFmtId="1" fontId="7" fillId="2" borderId="0" xfId="2" applyNumberFormat="1" applyFill="1" applyBorder="1" applyAlignment="1">
      <alignment horizontal="center"/>
    </xf>
    <xf numFmtId="0" fontId="0" fillId="2" borderId="0" xfId="0" applyFill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3">
    <cellStyle name="Köprü" xfId="1" builtinId="8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myhacklinker('?id=1%27);" TargetMode="External"/><Relationship Id="rId3" Type="http://schemas.openxmlformats.org/officeDocument/2006/relationships/hyperlink" Target="javascript:myhacklinker('?id=1%27);" TargetMode="External"/><Relationship Id="rId7" Type="http://schemas.openxmlformats.org/officeDocument/2006/relationships/hyperlink" Target="javascript:myhacklinker('?id=1%27);" TargetMode="External"/><Relationship Id="rId2" Type="http://schemas.openxmlformats.org/officeDocument/2006/relationships/hyperlink" Target="javascript:myhacklinker('?id=1%27);" TargetMode="External"/><Relationship Id="rId1" Type="http://schemas.openxmlformats.org/officeDocument/2006/relationships/hyperlink" Target="javascript:myhacklinker('?id=1%27);" TargetMode="External"/><Relationship Id="rId6" Type="http://schemas.openxmlformats.org/officeDocument/2006/relationships/hyperlink" Target="javascript:myhacklinker('?id=1%27);" TargetMode="External"/><Relationship Id="rId5" Type="http://schemas.openxmlformats.org/officeDocument/2006/relationships/hyperlink" Target="javascript:myhacklinker('?id=1%27);" TargetMode="External"/><Relationship Id="rId4" Type="http://schemas.openxmlformats.org/officeDocument/2006/relationships/hyperlink" Target="javascript:myhacklinker('?id=1%27);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6"/>
  <dimension ref="A1:H481"/>
  <sheetViews>
    <sheetView topLeftCell="A419" workbookViewId="0">
      <selection activeCell="G433" sqref="G433"/>
    </sheetView>
  </sheetViews>
  <sheetFormatPr defaultRowHeight="15" outlineLevelRow="2" x14ac:dyDescent="0.25"/>
  <cols>
    <col min="1" max="1" width="15" bestFit="1" customWidth="1"/>
    <col min="2" max="2" width="7.5703125" customWidth="1"/>
    <col min="3" max="3" width="14.140625" customWidth="1"/>
    <col min="4" max="4" width="31.85546875" bestFit="1" customWidth="1"/>
    <col min="5" max="6" width="14.140625" customWidth="1"/>
    <col min="7" max="7" width="26.5703125" bestFit="1" customWidth="1"/>
    <col min="8" max="8" width="11.85546875" bestFit="1" customWidth="1"/>
  </cols>
  <sheetData>
    <row r="1" spans="1:8" x14ac:dyDescent="0.25">
      <c r="A1" s="1" t="s">
        <v>440</v>
      </c>
      <c r="B1" s="1" t="s">
        <v>441</v>
      </c>
      <c r="C1" s="1" t="s">
        <v>232</v>
      </c>
      <c r="D1" s="1" t="s">
        <v>448</v>
      </c>
      <c r="E1" s="27" t="s">
        <v>445</v>
      </c>
      <c r="F1" s="1" t="s">
        <v>220</v>
      </c>
      <c r="G1" s="1" t="s">
        <v>444</v>
      </c>
      <c r="H1" s="1" t="s">
        <v>446</v>
      </c>
    </row>
    <row r="2" spans="1:8" outlineLevel="2" x14ac:dyDescent="0.25">
      <c r="A2" s="2" t="s">
        <v>398</v>
      </c>
      <c r="B2" s="2">
        <v>1</v>
      </c>
      <c r="C2" s="3" t="s">
        <v>99</v>
      </c>
      <c r="D2" s="2" t="s">
        <v>49</v>
      </c>
      <c r="E2" s="45">
        <v>1</v>
      </c>
      <c r="F2" s="2" t="s">
        <v>98</v>
      </c>
      <c r="G2" s="48">
        <f>VLOOKUP(C:C,yedekparca!A:D,3,0)</f>
        <v>8.0779589999999999</v>
      </c>
      <c r="H2" s="48">
        <f>E2*G2</f>
        <v>8.0779589999999999</v>
      </c>
    </row>
    <row r="3" spans="1:8" outlineLevel="2" x14ac:dyDescent="0.25">
      <c r="A3" s="2" t="s">
        <v>398</v>
      </c>
      <c r="B3" s="2">
        <v>2</v>
      </c>
      <c r="C3" s="2" t="s">
        <v>104</v>
      </c>
      <c r="D3" s="2" t="s">
        <v>27</v>
      </c>
      <c r="E3" s="45">
        <v>8.1999999999999993</v>
      </c>
      <c r="F3" s="2" t="s">
        <v>103</v>
      </c>
      <c r="G3" s="48">
        <f>VLOOKUP(C:C,yedekparca!A:D,3,0)</f>
        <v>4.7906976744186043</v>
      </c>
      <c r="H3" s="48">
        <f t="shared" ref="H3:H73" si="0">E3*G3</f>
        <v>39.283720930232555</v>
      </c>
    </row>
    <row r="4" spans="1:8" outlineLevel="2" x14ac:dyDescent="0.25">
      <c r="A4" s="2" t="s">
        <v>398</v>
      </c>
      <c r="B4" s="2">
        <v>3</v>
      </c>
      <c r="C4" s="2" t="s">
        <v>85</v>
      </c>
      <c r="D4" s="4" t="s">
        <v>86</v>
      </c>
      <c r="E4" s="46">
        <v>1</v>
      </c>
      <c r="F4" s="2" t="s">
        <v>98</v>
      </c>
      <c r="G4" s="48">
        <f>VLOOKUP(C:C,yedekparca!A:D,3,0)</f>
        <v>11.136429</v>
      </c>
      <c r="H4" s="48">
        <f t="shared" si="0"/>
        <v>11.136429</v>
      </c>
    </row>
    <row r="5" spans="1:8" outlineLevel="2" x14ac:dyDescent="0.25">
      <c r="A5" s="2" t="s">
        <v>398</v>
      </c>
      <c r="B5" s="2">
        <v>4</v>
      </c>
      <c r="C5" s="3" t="s">
        <v>100</v>
      </c>
      <c r="D5" s="2" t="s">
        <v>16</v>
      </c>
      <c r="E5" s="45">
        <v>7</v>
      </c>
      <c r="F5" s="2" t="s">
        <v>103</v>
      </c>
      <c r="G5" s="48">
        <f>VLOOKUP(C:C,yedekparca!A:D,3,0)</f>
        <v>7.1302325581395358</v>
      </c>
      <c r="H5" s="48">
        <f t="shared" si="0"/>
        <v>49.911627906976747</v>
      </c>
    </row>
    <row r="6" spans="1:8" outlineLevel="2" x14ac:dyDescent="0.25">
      <c r="A6" s="2" t="s">
        <v>398</v>
      </c>
      <c r="B6" s="2">
        <v>5</v>
      </c>
      <c r="C6" s="2" t="s">
        <v>23</v>
      </c>
      <c r="D6" s="2" t="s">
        <v>101</v>
      </c>
      <c r="E6" s="45">
        <v>8.1999999999999993</v>
      </c>
      <c r="F6" s="2" t="s">
        <v>103</v>
      </c>
      <c r="G6" s="48">
        <f>VLOOKUP(C:C,yedekparca!A:D,3,0)</f>
        <v>3.6976744186046511</v>
      </c>
      <c r="H6" s="48">
        <f t="shared" si="0"/>
        <v>30.320930232558137</v>
      </c>
    </row>
    <row r="7" spans="1:8" outlineLevel="2" x14ac:dyDescent="0.25">
      <c r="A7" s="2" t="s">
        <v>398</v>
      </c>
      <c r="B7" s="2">
        <v>6</v>
      </c>
      <c r="C7" s="2" t="s">
        <v>1</v>
      </c>
      <c r="D7" s="3" t="s">
        <v>2</v>
      </c>
      <c r="E7" s="45">
        <v>1</v>
      </c>
      <c r="F7" s="2" t="s">
        <v>98</v>
      </c>
      <c r="G7" s="48">
        <f>VLOOKUP(C:C,yedekparca!A:D,3,0)</f>
        <v>58.139534883720927</v>
      </c>
      <c r="H7" s="48">
        <f t="shared" si="0"/>
        <v>58.139534883720927</v>
      </c>
    </row>
    <row r="8" spans="1:8" outlineLevel="1" x14ac:dyDescent="0.25">
      <c r="A8" s="2">
        <f>SUBTOTAL(9,A2:A7)</f>
        <v>0</v>
      </c>
      <c r="B8" s="2"/>
      <c r="C8" s="2"/>
      <c r="D8" s="3"/>
      <c r="E8" s="45"/>
      <c r="F8" s="2"/>
      <c r="G8" s="52" t="s">
        <v>416</v>
      </c>
      <c r="H8" s="48">
        <f>SUBTOTAL(9,H2:H7)</f>
        <v>196.87020195348836</v>
      </c>
    </row>
    <row r="9" spans="1:8" outlineLevel="2" x14ac:dyDescent="0.25">
      <c r="A9" s="2" t="s">
        <v>399</v>
      </c>
      <c r="B9" s="2">
        <v>1</v>
      </c>
      <c r="C9" s="3" t="s">
        <v>99</v>
      </c>
      <c r="D9" s="2" t="s">
        <v>49</v>
      </c>
      <c r="E9" s="45">
        <v>1</v>
      </c>
      <c r="F9" s="2" t="s">
        <v>98</v>
      </c>
      <c r="G9" s="49">
        <f>VLOOKUP(C:C,yedekparca!A:D,3,0)</f>
        <v>8.0779589999999999</v>
      </c>
      <c r="H9" s="49">
        <f t="shared" si="0"/>
        <v>8.0779589999999999</v>
      </c>
    </row>
    <row r="10" spans="1:8" ht="12" customHeight="1" outlineLevel="2" x14ac:dyDescent="0.25">
      <c r="A10" s="2" t="s">
        <v>399</v>
      </c>
      <c r="B10" s="2">
        <v>2</v>
      </c>
      <c r="C10" s="2" t="s">
        <v>104</v>
      </c>
      <c r="D10" s="2" t="s">
        <v>27</v>
      </c>
      <c r="E10" s="45">
        <v>8.1999999999999993</v>
      </c>
      <c r="F10" s="2" t="s">
        <v>103</v>
      </c>
      <c r="G10" s="49">
        <f>VLOOKUP(C:C,yedekparca!A:D,3,0)</f>
        <v>4.7906976744186043</v>
      </c>
      <c r="H10" s="49">
        <f t="shared" si="0"/>
        <v>39.283720930232555</v>
      </c>
    </row>
    <row r="11" spans="1:8" ht="12" customHeight="1" outlineLevel="2" x14ac:dyDescent="0.25">
      <c r="A11" s="2" t="s">
        <v>399</v>
      </c>
      <c r="B11" s="2">
        <v>3</v>
      </c>
      <c r="C11" s="2" t="s">
        <v>85</v>
      </c>
      <c r="D11" s="4" t="s">
        <v>86</v>
      </c>
      <c r="E11" s="46">
        <v>1</v>
      </c>
      <c r="F11" s="2" t="s">
        <v>98</v>
      </c>
      <c r="G11" s="49">
        <f>VLOOKUP(C:C,yedekparca!A:D,3,0)</f>
        <v>11.136429</v>
      </c>
      <c r="H11" s="49">
        <f t="shared" si="0"/>
        <v>11.136429</v>
      </c>
    </row>
    <row r="12" spans="1:8" ht="12" customHeight="1" outlineLevel="2" x14ac:dyDescent="0.25">
      <c r="A12" s="2" t="s">
        <v>399</v>
      </c>
      <c r="B12" s="2">
        <v>4</v>
      </c>
      <c r="C12" s="3" t="s">
        <v>100</v>
      </c>
      <c r="D12" s="2" t="s">
        <v>16</v>
      </c>
      <c r="E12" s="45">
        <v>7</v>
      </c>
      <c r="F12" s="2" t="s">
        <v>103</v>
      </c>
      <c r="G12" s="49">
        <f>VLOOKUP(C:C,yedekparca!A:D,3,0)</f>
        <v>7.1302325581395358</v>
      </c>
      <c r="H12" s="49">
        <f t="shared" si="0"/>
        <v>49.911627906976747</v>
      </c>
    </row>
    <row r="13" spans="1:8" ht="12" customHeight="1" outlineLevel="2" x14ac:dyDescent="0.25">
      <c r="A13" s="2" t="s">
        <v>399</v>
      </c>
      <c r="B13" s="2">
        <v>5</v>
      </c>
      <c r="C13" s="2" t="s">
        <v>23</v>
      </c>
      <c r="D13" s="2" t="s">
        <v>101</v>
      </c>
      <c r="E13" s="45">
        <v>8.1999999999999993</v>
      </c>
      <c r="F13" s="2" t="s">
        <v>103</v>
      </c>
      <c r="G13" s="49">
        <f>VLOOKUP(C:C,yedekparca!A:D,3,0)</f>
        <v>3.6976744186046511</v>
      </c>
      <c r="H13" s="49">
        <f t="shared" si="0"/>
        <v>30.320930232558137</v>
      </c>
    </row>
    <row r="14" spans="1:8" ht="12" customHeight="1" outlineLevel="2" x14ac:dyDescent="0.25">
      <c r="A14" s="2" t="s">
        <v>399</v>
      </c>
      <c r="B14" s="2">
        <v>6</v>
      </c>
      <c r="C14" s="3" t="s">
        <v>1</v>
      </c>
      <c r="D14" s="3" t="s">
        <v>2</v>
      </c>
      <c r="E14" s="45">
        <v>1</v>
      </c>
      <c r="F14" s="2" t="s">
        <v>98</v>
      </c>
      <c r="G14" s="49">
        <f>VLOOKUP(C:C,yedekparca!A:D,3,0)</f>
        <v>58.139534883720927</v>
      </c>
      <c r="H14" s="49">
        <f t="shared" si="0"/>
        <v>58.139534883720927</v>
      </c>
    </row>
    <row r="15" spans="1:8" ht="12" customHeight="1" outlineLevel="1" x14ac:dyDescent="0.25">
      <c r="A15" s="2">
        <f>SUBTOTAL(9,A9:A14)</f>
        <v>0</v>
      </c>
      <c r="B15" s="2"/>
      <c r="C15" s="3"/>
      <c r="D15" s="3"/>
      <c r="E15" s="45"/>
      <c r="F15" s="2"/>
      <c r="G15" s="50" t="s">
        <v>417</v>
      </c>
      <c r="H15" s="49">
        <f>SUBTOTAL(9,H9:H14)</f>
        <v>196.87020195348836</v>
      </c>
    </row>
    <row r="16" spans="1:8" ht="12" customHeight="1" outlineLevel="2" x14ac:dyDescent="0.25">
      <c r="A16" s="2" t="s">
        <v>400</v>
      </c>
      <c r="B16" s="2">
        <v>1</v>
      </c>
      <c r="C16" s="3" t="s">
        <v>99</v>
      </c>
      <c r="D16" s="2" t="s">
        <v>49</v>
      </c>
      <c r="E16" s="45">
        <v>1</v>
      </c>
      <c r="F16" s="2" t="s">
        <v>98</v>
      </c>
      <c r="G16" s="49">
        <f>VLOOKUP(C:C,yedekparca!A:D,3,0)</f>
        <v>8.0779589999999999</v>
      </c>
      <c r="H16" s="49">
        <f t="shared" si="0"/>
        <v>8.0779589999999999</v>
      </c>
    </row>
    <row r="17" spans="1:8" ht="12" customHeight="1" outlineLevel="2" x14ac:dyDescent="0.25">
      <c r="A17" s="2" t="s">
        <v>400</v>
      </c>
      <c r="B17" s="2">
        <v>2</v>
      </c>
      <c r="C17" s="2" t="s">
        <v>104</v>
      </c>
      <c r="D17" s="2" t="s">
        <v>27</v>
      </c>
      <c r="E17" s="45">
        <v>8.1999999999999993</v>
      </c>
      <c r="F17" s="2" t="s">
        <v>103</v>
      </c>
      <c r="G17" s="49">
        <f>VLOOKUP(C:C,yedekparca!A:D,3,0)</f>
        <v>4.7906976744186043</v>
      </c>
      <c r="H17" s="49">
        <f t="shared" si="0"/>
        <v>39.283720930232555</v>
      </c>
    </row>
    <row r="18" spans="1:8" ht="12" customHeight="1" outlineLevel="2" x14ac:dyDescent="0.25">
      <c r="A18" s="2" t="s">
        <v>400</v>
      </c>
      <c r="B18" s="2">
        <v>3</v>
      </c>
      <c r="C18" s="3" t="s">
        <v>66</v>
      </c>
      <c r="D18" s="2" t="s">
        <v>73</v>
      </c>
      <c r="E18" s="45">
        <v>1</v>
      </c>
      <c r="F18" s="2" t="s">
        <v>98</v>
      </c>
      <c r="G18" s="49">
        <f>VLOOKUP(C:C,yedekparca!A:D,3,0)</f>
        <v>3.3823079999999996</v>
      </c>
      <c r="H18" s="49">
        <f t="shared" si="0"/>
        <v>3.3823079999999996</v>
      </c>
    </row>
    <row r="19" spans="1:8" ht="12" customHeight="1" outlineLevel="2" x14ac:dyDescent="0.25">
      <c r="A19" s="2" t="s">
        <v>400</v>
      </c>
      <c r="B19" s="2">
        <v>4</v>
      </c>
      <c r="C19" s="3" t="s">
        <v>35</v>
      </c>
      <c r="D19" s="2" t="s">
        <v>36</v>
      </c>
      <c r="E19" s="45">
        <v>1</v>
      </c>
      <c r="F19" s="2" t="s">
        <v>98</v>
      </c>
      <c r="G19" s="49">
        <f>VLOOKUP(C:C,yedekparca!A:D,3,0)</f>
        <v>21.283352999999998</v>
      </c>
      <c r="H19" s="49">
        <f t="shared" si="0"/>
        <v>21.283352999999998</v>
      </c>
    </row>
    <row r="20" spans="1:8" ht="12" customHeight="1" outlineLevel="2" x14ac:dyDescent="0.25">
      <c r="A20" s="2" t="s">
        <v>400</v>
      </c>
      <c r="B20" s="2">
        <v>5</v>
      </c>
      <c r="C20" s="3" t="s">
        <v>33</v>
      </c>
      <c r="D20" s="2" t="s">
        <v>34</v>
      </c>
      <c r="E20" s="45">
        <v>1</v>
      </c>
      <c r="F20" s="2" t="s">
        <v>98</v>
      </c>
      <c r="G20" s="49">
        <f>VLOOKUP(C:C,yedekparca!A:D,3,0)</f>
        <v>29.343320999999996</v>
      </c>
      <c r="H20" s="49">
        <f t="shared" si="0"/>
        <v>29.343320999999996</v>
      </c>
    </row>
    <row r="21" spans="1:8" ht="12" customHeight="1" outlineLevel="2" x14ac:dyDescent="0.25">
      <c r="A21" s="2" t="s">
        <v>400</v>
      </c>
      <c r="B21" s="2">
        <v>6</v>
      </c>
      <c r="C21" s="3" t="s">
        <v>90</v>
      </c>
      <c r="D21" s="2" t="s">
        <v>46</v>
      </c>
      <c r="E21" s="45">
        <v>1</v>
      </c>
      <c r="F21" s="2" t="s">
        <v>98</v>
      </c>
      <c r="G21" s="49">
        <f>VLOOKUP(C:C,yedekparca!A:D,3,0)</f>
        <v>32.113934999999998</v>
      </c>
      <c r="H21" s="49">
        <f t="shared" si="0"/>
        <v>32.113934999999998</v>
      </c>
    </row>
    <row r="22" spans="1:8" ht="12" customHeight="1" outlineLevel="2" x14ac:dyDescent="0.25">
      <c r="A22" s="2" t="s">
        <v>400</v>
      </c>
      <c r="B22" s="2">
        <v>7</v>
      </c>
      <c r="C22" s="3" t="s">
        <v>3</v>
      </c>
      <c r="D22" s="3" t="s">
        <v>4</v>
      </c>
      <c r="E22" s="45">
        <v>1</v>
      </c>
      <c r="F22" s="2" t="s">
        <v>98</v>
      </c>
      <c r="G22" s="49">
        <f>VLOOKUP(C:C,yedekparca!A:D,3,0)</f>
        <v>93.023255813953483</v>
      </c>
      <c r="H22" s="49">
        <f t="shared" si="0"/>
        <v>93.023255813953483</v>
      </c>
    </row>
    <row r="23" spans="1:8" ht="12" customHeight="1" outlineLevel="1" x14ac:dyDescent="0.25">
      <c r="A23" s="2">
        <f>SUBTOTAL(9,A16:A22)</f>
        <v>0</v>
      </c>
      <c r="B23" s="2"/>
      <c r="C23" s="3"/>
      <c r="D23" s="3"/>
      <c r="E23" s="45"/>
      <c r="F23" s="2"/>
      <c r="G23" s="50" t="s">
        <v>418</v>
      </c>
      <c r="H23" s="49">
        <f>SUBTOTAL(9,H16:H22)</f>
        <v>226.50785274418604</v>
      </c>
    </row>
    <row r="24" spans="1:8" ht="12" customHeight="1" outlineLevel="2" x14ac:dyDescent="0.25">
      <c r="A24" s="2" t="s">
        <v>401</v>
      </c>
      <c r="B24" s="2">
        <v>1</v>
      </c>
      <c r="C24" s="3" t="s">
        <v>99</v>
      </c>
      <c r="D24" s="2" t="s">
        <v>49</v>
      </c>
      <c r="E24" s="45">
        <v>1</v>
      </c>
      <c r="F24" s="2" t="s">
        <v>98</v>
      </c>
      <c r="G24" s="49">
        <f>VLOOKUP(C:C,yedekparca!A:D,3,0)</f>
        <v>8.0779589999999999</v>
      </c>
      <c r="H24" s="49">
        <f t="shared" si="0"/>
        <v>8.0779589999999999</v>
      </c>
    </row>
    <row r="25" spans="1:8" ht="12" customHeight="1" outlineLevel="2" x14ac:dyDescent="0.25">
      <c r="A25" s="2" t="s">
        <v>401</v>
      </c>
      <c r="B25" s="2">
        <v>2</v>
      </c>
      <c r="C25" s="2" t="s">
        <v>104</v>
      </c>
      <c r="D25" s="2" t="s">
        <v>27</v>
      </c>
      <c r="E25" s="45">
        <v>8.1999999999999993</v>
      </c>
      <c r="F25" s="2" t="s">
        <v>103</v>
      </c>
      <c r="G25" s="49">
        <f>VLOOKUP(C:C,yedekparca!A:D,3,0)</f>
        <v>4.7906976744186043</v>
      </c>
      <c r="H25" s="49">
        <f t="shared" si="0"/>
        <v>39.283720930232555</v>
      </c>
    </row>
    <row r="26" spans="1:8" ht="12" customHeight="1" outlineLevel="2" x14ac:dyDescent="0.25">
      <c r="A26" s="2" t="s">
        <v>401</v>
      </c>
      <c r="B26" s="2">
        <v>3</v>
      </c>
      <c r="C26" s="3" t="s">
        <v>90</v>
      </c>
      <c r="D26" s="2" t="s">
        <v>46</v>
      </c>
      <c r="E26" s="45">
        <v>1</v>
      </c>
      <c r="F26" s="2" t="s">
        <v>98</v>
      </c>
      <c r="G26" s="49">
        <f>VLOOKUP(C:C,yedekparca!A:D,3,0)</f>
        <v>32.113934999999998</v>
      </c>
      <c r="H26" s="49">
        <f t="shared" si="0"/>
        <v>32.113934999999998</v>
      </c>
    </row>
    <row r="27" spans="1:8" ht="12" customHeight="1" outlineLevel="2" x14ac:dyDescent="0.25">
      <c r="A27" s="2" t="s">
        <v>401</v>
      </c>
      <c r="B27" s="2">
        <v>4</v>
      </c>
      <c r="C27" s="3" t="s">
        <v>35</v>
      </c>
      <c r="D27" s="2" t="s">
        <v>36</v>
      </c>
      <c r="E27" s="45">
        <v>1</v>
      </c>
      <c r="F27" s="2" t="s">
        <v>98</v>
      </c>
      <c r="G27" s="49">
        <f>VLOOKUP(C:C,yedekparca!A:D,3,0)</f>
        <v>21.283352999999998</v>
      </c>
      <c r="H27" s="49">
        <f t="shared" si="0"/>
        <v>21.283352999999998</v>
      </c>
    </row>
    <row r="28" spans="1:8" ht="12" customHeight="1" outlineLevel="2" x14ac:dyDescent="0.25">
      <c r="A28" s="2" t="s">
        <v>401</v>
      </c>
      <c r="B28" s="2">
        <v>5</v>
      </c>
      <c r="C28" s="3" t="s">
        <v>33</v>
      </c>
      <c r="D28" s="2" t="s">
        <v>34</v>
      </c>
      <c r="E28" s="45">
        <v>1</v>
      </c>
      <c r="F28" s="2" t="s">
        <v>98</v>
      </c>
      <c r="G28" s="49">
        <f>VLOOKUP(C:C,yedekparca!A:D,3,0)</f>
        <v>29.343320999999996</v>
      </c>
      <c r="H28" s="49">
        <f t="shared" si="0"/>
        <v>29.343320999999996</v>
      </c>
    </row>
    <row r="29" spans="1:8" ht="12" customHeight="1" outlineLevel="2" x14ac:dyDescent="0.25">
      <c r="A29" s="2" t="s">
        <v>401</v>
      </c>
      <c r="B29" s="2">
        <v>6</v>
      </c>
      <c r="C29" s="2" t="s">
        <v>85</v>
      </c>
      <c r="D29" s="4" t="s">
        <v>86</v>
      </c>
      <c r="E29" s="45">
        <v>1</v>
      </c>
      <c r="F29" s="2" t="s">
        <v>98</v>
      </c>
      <c r="G29" s="49">
        <f>VLOOKUP(C:C,yedekparca!A:D,3,0)</f>
        <v>11.136429</v>
      </c>
      <c r="H29" s="49">
        <f t="shared" si="0"/>
        <v>11.136429</v>
      </c>
    </row>
    <row r="30" spans="1:8" ht="12" customHeight="1" outlineLevel="2" x14ac:dyDescent="0.25">
      <c r="A30" s="2" t="s">
        <v>401</v>
      </c>
      <c r="B30" s="2">
        <v>7</v>
      </c>
      <c r="C30" s="3" t="s">
        <v>100</v>
      </c>
      <c r="D30" s="2" t="s">
        <v>16</v>
      </c>
      <c r="E30" s="45">
        <v>7</v>
      </c>
      <c r="F30" s="2" t="s">
        <v>103</v>
      </c>
      <c r="G30" s="49">
        <f>VLOOKUP(C:C,yedekparca!A:D,3,0)</f>
        <v>7.1302325581395358</v>
      </c>
      <c r="H30" s="49">
        <f t="shared" si="0"/>
        <v>49.911627906976747</v>
      </c>
    </row>
    <row r="31" spans="1:8" ht="12" customHeight="1" outlineLevel="2" x14ac:dyDescent="0.25">
      <c r="A31" s="2" t="s">
        <v>401</v>
      </c>
      <c r="B31" s="2">
        <v>8</v>
      </c>
      <c r="C31" s="2" t="s">
        <v>23</v>
      </c>
      <c r="D31" s="2" t="s">
        <v>101</v>
      </c>
      <c r="E31" s="45">
        <v>8.1999999999999993</v>
      </c>
      <c r="F31" s="2" t="s">
        <v>103</v>
      </c>
      <c r="G31" s="49">
        <f>VLOOKUP(C:C,yedekparca!A:D,3,0)</f>
        <v>3.6976744186046511</v>
      </c>
      <c r="H31" s="49">
        <f t="shared" si="0"/>
        <v>30.320930232558137</v>
      </c>
    </row>
    <row r="32" spans="1:8" ht="12" customHeight="1" outlineLevel="2" x14ac:dyDescent="0.25">
      <c r="A32" s="2" t="s">
        <v>401</v>
      </c>
      <c r="B32" s="2">
        <v>9</v>
      </c>
      <c r="C32" s="2" t="s">
        <v>17</v>
      </c>
      <c r="D32" s="2" t="s">
        <v>18</v>
      </c>
      <c r="E32" s="45">
        <v>0.5</v>
      </c>
      <c r="F32" s="2" t="s">
        <v>98</v>
      </c>
      <c r="G32" s="49">
        <f>VLOOKUP(C:C,yedekparca!A:D,3,0)</f>
        <v>2.8069767441860467</v>
      </c>
      <c r="H32" s="49">
        <f t="shared" si="0"/>
        <v>1.4034883720930234</v>
      </c>
    </row>
    <row r="33" spans="1:8" ht="12" customHeight="1" outlineLevel="2" x14ac:dyDescent="0.25">
      <c r="A33" s="2" t="s">
        <v>401</v>
      </c>
      <c r="B33" s="2">
        <v>10</v>
      </c>
      <c r="C33" s="3" t="s">
        <v>78</v>
      </c>
      <c r="D33" s="2" t="s">
        <v>70</v>
      </c>
      <c r="E33" s="45">
        <v>1</v>
      </c>
      <c r="F33" s="2" t="s">
        <v>98</v>
      </c>
      <c r="G33" s="49">
        <f>VLOOKUP(C:C,yedekparca!A:D,3,0)</f>
        <v>45.805086000000003</v>
      </c>
      <c r="H33" s="49">
        <f t="shared" si="0"/>
        <v>45.805086000000003</v>
      </c>
    </row>
    <row r="34" spans="1:8" ht="12" customHeight="1" outlineLevel="2" x14ac:dyDescent="0.25">
      <c r="A34" s="2" t="s">
        <v>401</v>
      </c>
      <c r="B34" s="2">
        <v>11</v>
      </c>
      <c r="C34" s="3" t="s">
        <v>102</v>
      </c>
      <c r="D34" s="2" t="s">
        <v>68</v>
      </c>
      <c r="E34" s="45">
        <v>1</v>
      </c>
      <c r="F34" s="2" t="s">
        <v>98</v>
      </c>
      <c r="G34" s="49">
        <f>VLOOKUP(C:C,yedekparca!A:D,3,0)</f>
        <v>22.524731999999997</v>
      </c>
      <c r="H34" s="49">
        <f t="shared" si="0"/>
        <v>22.524731999999997</v>
      </c>
    </row>
    <row r="35" spans="1:8" ht="12" customHeight="1" outlineLevel="2" x14ac:dyDescent="0.25">
      <c r="A35" s="2" t="s">
        <v>401</v>
      </c>
      <c r="B35" s="2">
        <v>12</v>
      </c>
      <c r="C35" s="3" t="s">
        <v>66</v>
      </c>
      <c r="D35" s="2" t="s">
        <v>65</v>
      </c>
      <c r="E35" s="45">
        <v>1</v>
      </c>
      <c r="F35" s="2" t="s">
        <v>98</v>
      </c>
      <c r="G35" s="49">
        <f>VLOOKUP(C:C,yedekparca!A:D,3,0)</f>
        <v>3.3823079999999996</v>
      </c>
      <c r="H35" s="49">
        <f t="shared" si="0"/>
        <v>3.3823079999999996</v>
      </c>
    </row>
    <row r="36" spans="1:8" ht="12" customHeight="1" outlineLevel="2" x14ac:dyDescent="0.25">
      <c r="A36" s="2" t="s">
        <v>401</v>
      </c>
      <c r="B36" s="2">
        <v>13</v>
      </c>
      <c r="C36" s="3" t="s">
        <v>92</v>
      </c>
      <c r="D36" s="2" t="s">
        <v>93</v>
      </c>
      <c r="E36" s="45">
        <v>1</v>
      </c>
      <c r="F36" s="2" t="s">
        <v>98</v>
      </c>
      <c r="G36" s="49">
        <f>VLOOKUP(C:C,yedekparca!A:D,3,0)</f>
        <v>40.749614999999999</v>
      </c>
      <c r="H36" s="49">
        <f t="shared" si="0"/>
        <v>40.749614999999999</v>
      </c>
    </row>
    <row r="37" spans="1:8" ht="12" customHeight="1" outlineLevel="2" x14ac:dyDescent="0.25">
      <c r="A37" s="2" t="s">
        <v>401</v>
      </c>
      <c r="B37" s="2">
        <v>14</v>
      </c>
      <c r="C37" s="3" t="s">
        <v>5</v>
      </c>
      <c r="D37" s="3" t="s">
        <v>6</v>
      </c>
      <c r="E37" s="45">
        <v>1</v>
      </c>
      <c r="F37" s="2" t="s">
        <v>98</v>
      </c>
      <c r="G37" s="49">
        <f>VLOOKUP(C:C,yedekparca!A:D,3,0)</f>
        <v>139.53488372093022</v>
      </c>
      <c r="H37" s="49">
        <f t="shared" si="0"/>
        <v>139.53488372093022</v>
      </c>
    </row>
    <row r="38" spans="1:8" ht="12" customHeight="1" outlineLevel="1" x14ac:dyDescent="0.25">
      <c r="A38" s="2">
        <f>SUBTOTAL(9,A24:A37)</f>
        <v>0</v>
      </c>
      <c r="B38" s="2"/>
      <c r="C38" s="3"/>
      <c r="D38" s="3"/>
      <c r="E38" s="45"/>
      <c r="F38" s="2"/>
      <c r="G38" s="50" t="s">
        <v>419</v>
      </c>
      <c r="H38" s="49">
        <f>SUBTOTAL(9,H24:H37)</f>
        <v>474.87138916279071</v>
      </c>
    </row>
    <row r="39" spans="1:8" ht="12" customHeight="1" outlineLevel="2" x14ac:dyDescent="0.25">
      <c r="A39" s="2" t="s">
        <v>402</v>
      </c>
      <c r="B39" s="2">
        <v>1</v>
      </c>
      <c r="C39" s="3" t="s">
        <v>99</v>
      </c>
      <c r="D39" s="2" t="s">
        <v>49</v>
      </c>
      <c r="E39" s="45">
        <v>1</v>
      </c>
      <c r="F39" s="2" t="s">
        <v>98</v>
      </c>
      <c r="G39" s="49">
        <f>VLOOKUP(C:C,yedekparca!A:D,3,0)</f>
        <v>8.0779589999999999</v>
      </c>
      <c r="H39" s="49">
        <f t="shared" si="0"/>
        <v>8.0779589999999999</v>
      </c>
    </row>
    <row r="40" spans="1:8" ht="12" customHeight="1" outlineLevel="2" x14ac:dyDescent="0.25">
      <c r="A40" s="2" t="s">
        <v>402</v>
      </c>
      <c r="B40" s="2">
        <v>2</v>
      </c>
      <c r="C40" s="2" t="s">
        <v>104</v>
      </c>
      <c r="D40" s="2" t="s">
        <v>27</v>
      </c>
      <c r="E40" s="45">
        <v>8.1999999999999993</v>
      </c>
      <c r="F40" s="2" t="s">
        <v>103</v>
      </c>
      <c r="G40" s="49">
        <f>VLOOKUP(C:C,yedekparca!A:D,3,0)</f>
        <v>4.7906976744186043</v>
      </c>
      <c r="H40" s="49">
        <f t="shared" si="0"/>
        <v>39.283720930232555</v>
      </c>
    </row>
    <row r="41" spans="1:8" ht="12" customHeight="1" outlineLevel="2" x14ac:dyDescent="0.25">
      <c r="A41" s="2" t="s">
        <v>402</v>
      </c>
      <c r="B41" s="2">
        <v>3</v>
      </c>
      <c r="C41" s="3" t="s">
        <v>90</v>
      </c>
      <c r="D41" s="2" t="s">
        <v>46</v>
      </c>
      <c r="E41" s="45">
        <v>1</v>
      </c>
      <c r="F41" s="2" t="s">
        <v>98</v>
      </c>
      <c r="G41" s="49">
        <f>VLOOKUP(C:C,yedekparca!A:D,3,0)</f>
        <v>32.113934999999998</v>
      </c>
      <c r="H41" s="49">
        <f t="shared" si="0"/>
        <v>32.113934999999998</v>
      </c>
    </row>
    <row r="42" spans="1:8" ht="12" customHeight="1" outlineLevel="2" x14ac:dyDescent="0.25">
      <c r="A42" s="2" t="s">
        <v>402</v>
      </c>
      <c r="B42" s="2">
        <v>4</v>
      </c>
      <c r="C42" s="3" t="s">
        <v>35</v>
      </c>
      <c r="D42" s="2" t="s">
        <v>36</v>
      </c>
      <c r="E42" s="45">
        <v>1</v>
      </c>
      <c r="F42" s="2" t="s">
        <v>98</v>
      </c>
      <c r="G42" s="49">
        <f>VLOOKUP(C:C,yedekparca!A:D,3,0)</f>
        <v>21.283352999999998</v>
      </c>
      <c r="H42" s="49">
        <f t="shared" si="0"/>
        <v>21.283352999999998</v>
      </c>
    </row>
    <row r="43" spans="1:8" ht="12" customHeight="1" outlineLevel="2" x14ac:dyDescent="0.25">
      <c r="A43" s="2" t="s">
        <v>402</v>
      </c>
      <c r="B43" s="2">
        <v>5</v>
      </c>
      <c r="C43" s="3" t="s">
        <v>33</v>
      </c>
      <c r="D43" s="2" t="s">
        <v>34</v>
      </c>
      <c r="E43" s="45">
        <v>1</v>
      </c>
      <c r="F43" s="2" t="s">
        <v>98</v>
      </c>
      <c r="G43" s="49">
        <f>VLOOKUP(C:C,yedekparca!A:D,3,0)</f>
        <v>29.343320999999996</v>
      </c>
      <c r="H43" s="49">
        <f t="shared" si="0"/>
        <v>29.343320999999996</v>
      </c>
    </row>
    <row r="44" spans="1:8" ht="12" customHeight="1" outlineLevel="2" x14ac:dyDescent="0.25">
      <c r="A44" s="2" t="s">
        <v>402</v>
      </c>
      <c r="B44" s="2">
        <v>6</v>
      </c>
      <c r="C44" s="2" t="s">
        <v>85</v>
      </c>
      <c r="D44" s="4" t="s">
        <v>86</v>
      </c>
      <c r="E44" s="45">
        <v>1</v>
      </c>
      <c r="F44" s="2" t="s">
        <v>98</v>
      </c>
      <c r="G44" s="49">
        <f>VLOOKUP(C:C,yedekparca!A:D,3,0)</f>
        <v>11.136429</v>
      </c>
      <c r="H44" s="49">
        <f t="shared" si="0"/>
        <v>11.136429</v>
      </c>
    </row>
    <row r="45" spans="1:8" ht="12" customHeight="1" outlineLevel="2" x14ac:dyDescent="0.25">
      <c r="A45" s="2" t="s">
        <v>402</v>
      </c>
      <c r="B45" s="2">
        <v>7</v>
      </c>
      <c r="C45" s="3" t="s">
        <v>100</v>
      </c>
      <c r="D45" s="2" t="s">
        <v>16</v>
      </c>
      <c r="E45" s="45">
        <v>7</v>
      </c>
      <c r="F45" s="2" t="s">
        <v>103</v>
      </c>
      <c r="G45" s="49">
        <f>VLOOKUP(C:C,yedekparca!A:D,3,0)</f>
        <v>7.1302325581395358</v>
      </c>
      <c r="H45" s="49">
        <f t="shared" si="0"/>
        <v>49.911627906976747</v>
      </c>
    </row>
    <row r="46" spans="1:8" ht="12" customHeight="1" outlineLevel="2" x14ac:dyDescent="0.25">
      <c r="A46" s="2" t="s">
        <v>402</v>
      </c>
      <c r="B46" s="2">
        <v>8</v>
      </c>
      <c r="C46" s="2" t="s">
        <v>23</v>
      </c>
      <c r="D46" s="2" t="s">
        <v>101</v>
      </c>
      <c r="E46" s="45">
        <v>8.1999999999999993</v>
      </c>
      <c r="F46" s="2" t="s">
        <v>103</v>
      </c>
      <c r="G46" s="49">
        <f>VLOOKUP(C:C,yedekparca!A:D,3,0)</f>
        <v>3.6976744186046511</v>
      </c>
      <c r="H46" s="49">
        <f t="shared" si="0"/>
        <v>30.320930232558137</v>
      </c>
    </row>
    <row r="47" spans="1:8" ht="12" customHeight="1" outlineLevel="2" x14ac:dyDescent="0.25">
      <c r="A47" s="2" t="s">
        <v>402</v>
      </c>
      <c r="B47" s="2">
        <v>9</v>
      </c>
      <c r="C47" s="2" t="s">
        <v>17</v>
      </c>
      <c r="D47" s="2" t="s">
        <v>18</v>
      </c>
      <c r="E47" s="45">
        <v>0.5</v>
      </c>
      <c r="F47" s="2" t="s">
        <v>98</v>
      </c>
      <c r="G47" s="49">
        <f>VLOOKUP(C:C,yedekparca!A:D,3,0)</f>
        <v>2.8069767441860467</v>
      </c>
      <c r="H47" s="49">
        <f t="shared" si="0"/>
        <v>1.4034883720930234</v>
      </c>
    </row>
    <row r="48" spans="1:8" ht="12" customHeight="1" outlineLevel="2" x14ac:dyDescent="0.25">
      <c r="A48" s="2" t="s">
        <v>402</v>
      </c>
      <c r="B48" s="2">
        <v>10</v>
      </c>
      <c r="C48" s="3" t="s">
        <v>78</v>
      </c>
      <c r="D48" s="2" t="s">
        <v>70</v>
      </c>
      <c r="E48" s="45">
        <v>1</v>
      </c>
      <c r="F48" s="2" t="s">
        <v>98</v>
      </c>
      <c r="G48" s="49">
        <f>VLOOKUP(C:C,yedekparca!A:D,3,0)</f>
        <v>45.805086000000003</v>
      </c>
      <c r="H48" s="49">
        <f t="shared" si="0"/>
        <v>45.805086000000003</v>
      </c>
    </row>
    <row r="49" spans="1:8" ht="12" customHeight="1" outlineLevel="2" x14ac:dyDescent="0.25">
      <c r="A49" s="2" t="s">
        <v>402</v>
      </c>
      <c r="B49" s="2">
        <v>11</v>
      </c>
      <c r="C49" s="3" t="s">
        <v>102</v>
      </c>
      <c r="D49" s="2" t="s">
        <v>68</v>
      </c>
      <c r="E49" s="45">
        <v>1</v>
      </c>
      <c r="F49" s="2" t="s">
        <v>98</v>
      </c>
      <c r="G49" s="49">
        <f>VLOOKUP(C:C,yedekparca!A:D,3,0)</f>
        <v>22.524731999999997</v>
      </c>
      <c r="H49" s="49">
        <f t="shared" si="0"/>
        <v>22.524731999999997</v>
      </c>
    </row>
    <row r="50" spans="1:8" ht="12" customHeight="1" outlineLevel="2" x14ac:dyDescent="0.25">
      <c r="A50" s="2" t="s">
        <v>402</v>
      </c>
      <c r="B50" s="2">
        <v>12</v>
      </c>
      <c r="C50" s="3" t="s">
        <v>66</v>
      </c>
      <c r="D50" s="2" t="s">
        <v>65</v>
      </c>
      <c r="E50" s="45">
        <v>1</v>
      </c>
      <c r="F50" s="2" t="s">
        <v>98</v>
      </c>
      <c r="G50" s="49">
        <f>VLOOKUP(C:C,yedekparca!A:D,3,0)</f>
        <v>3.3823079999999996</v>
      </c>
      <c r="H50" s="49">
        <f t="shared" si="0"/>
        <v>3.3823079999999996</v>
      </c>
    </row>
    <row r="51" spans="1:8" ht="12" customHeight="1" outlineLevel="2" x14ac:dyDescent="0.25">
      <c r="A51" s="2" t="s">
        <v>402</v>
      </c>
      <c r="B51" s="2">
        <v>13</v>
      </c>
      <c r="C51" s="3" t="s">
        <v>92</v>
      </c>
      <c r="D51" s="2" t="s">
        <v>93</v>
      </c>
      <c r="E51" s="45">
        <v>1</v>
      </c>
      <c r="F51" s="2" t="s">
        <v>98</v>
      </c>
      <c r="G51" s="49">
        <f>VLOOKUP(C:C,yedekparca!A:D,3,0)</f>
        <v>40.749614999999999</v>
      </c>
      <c r="H51" s="49">
        <f t="shared" si="0"/>
        <v>40.749614999999999</v>
      </c>
    </row>
    <row r="52" spans="1:8" ht="12" customHeight="1" outlineLevel="2" x14ac:dyDescent="0.25">
      <c r="A52" s="2" t="s">
        <v>402</v>
      </c>
      <c r="B52" s="2">
        <v>14</v>
      </c>
      <c r="C52" s="2" t="s">
        <v>19</v>
      </c>
      <c r="D52" s="2" t="s">
        <v>20</v>
      </c>
      <c r="E52" s="45">
        <v>38</v>
      </c>
      <c r="F52" s="2" t="s">
        <v>103</v>
      </c>
      <c r="G52" s="49">
        <f>VLOOKUP(C:C,yedekparca!A:D,3,0)</f>
        <v>2.6911627906976743</v>
      </c>
      <c r="H52" s="49">
        <f t="shared" si="0"/>
        <v>102.26418604651163</v>
      </c>
    </row>
    <row r="53" spans="1:8" ht="12" customHeight="1" outlineLevel="2" x14ac:dyDescent="0.25">
      <c r="A53" s="2" t="s">
        <v>402</v>
      </c>
      <c r="B53" s="2">
        <v>15</v>
      </c>
      <c r="C53" s="3" t="s">
        <v>5</v>
      </c>
      <c r="D53" s="3" t="s">
        <v>6</v>
      </c>
      <c r="E53" s="45">
        <v>1</v>
      </c>
      <c r="F53" s="2" t="s">
        <v>98</v>
      </c>
      <c r="G53" s="49">
        <f>VLOOKUP(C:C,yedekparca!A:D,3,0)</f>
        <v>139.53488372093022</v>
      </c>
      <c r="H53" s="49">
        <f t="shared" si="0"/>
        <v>139.53488372093022</v>
      </c>
    </row>
    <row r="54" spans="1:8" ht="12" customHeight="1" outlineLevel="1" x14ac:dyDescent="0.25">
      <c r="A54" s="2">
        <f>SUBTOTAL(9,A39:A53)</f>
        <v>0</v>
      </c>
      <c r="B54" s="2"/>
      <c r="C54" s="3"/>
      <c r="D54" s="3"/>
      <c r="E54" s="45"/>
      <c r="F54" s="2"/>
      <c r="G54" s="50" t="s">
        <v>420</v>
      </c>
      <c r="H54" s="49">
        <f>SUBTOTAL(9,H39:H53)</f>
        <v>577.13557520930226</v>
      </c>
    </row>
    <row r="55" spans="1:8" ht="12" customHeight="1" outlineLevel="2" x14ac:dyDescent="0.25">
      <c r="A55" s="2" t="s">
        <v>244</v>
      </c>
      <c r="B55" s="2">
        <v>1</v>
      </c>
      <c r="C55" s="17" t="s">
        <v>48</v>
      </c>
      <c r="D55" s="2" t="s">
        <v>49</v>
      </c>
      <c r="E55" s="45">
        <v>1</v>
      </c>
      <c r="F55" s="2" t="s">
        <v>98</v>
      </c>
      <c r="G55" s="49">
        <f>VLOOKUP(C:C,yedekparca!A:D,3,0)</f>
        <v>8.9415269999999989</v>
      </c>
      <c r="H55" s="49">
        <f t="shared" si="0"/>
        <v>8.9415269999999989</v>
      </c>
    </row>
    <row r="56" spans="1:8" ht="12" customHeight="1" outlineLevel="2" x14ac:dyDescent="0.25">
      <c r="A56" s="2" t="s">
        <v>244</v>
      </c>
      <c r="B56" s="2">
        <v>2</v>
      </c>
      <c r="C56" s="2" t="s">
        <v>104</v>
      </c>
      <c r="D56" s="2" t="s">
        <v>27</v>
      </c>
      <c r="E56" s="45">
        <v>8.1999999999999993</v>
      </c>
      <c r="F56" s="2" t="s">
        <v>103</v>
      </c>
      <c r="G56" s="49">
        <f>VLOOKUP(C:C,yedekparca!A:D,3,0)</f>
        <v>4.7906976744186043</v>
      </c>
      <c r="H56" s="49">
        <f t="shared" si="0"/>
        <v>39.283720930232555</v>
      </c>
    </row>
    <row r="57" spans="1:8" ht="12" customHeight="1" outlineLevel="2" x14ac:dyDescent="0.25">
      <c r="A57" s="2" t="s">
        <v>244</v>
      </c>
      <c r="B57" s="2">
        <v>3</v>
      </c>
      <c r="C57" s="5" t="s">
        <v>87</v>
      </c>
      <c r="D57" s="2" t="s">
        <v>86</v>
      </c>
      <c r="E57" s="45">
        <v>1</v>
      </c>
      <c r="F57" s="2" t="s">
        <v>98</v>
      </c>
      <c r="G57" s="49">
        <f>VLOOKUP(C:C,yedekparca!A:D,3,0)</f>
        <v>38.140919999999994</v>
      </c>
      <c r="H57" s="49">
        <f t="shared" si="0"/>
        <v>38.140919999999994</v>
      </c>
    </row>
    <row r="58" spans="1:8" ht="12" customHeight="1" outlineLevel="2" x14ac:dyDescent="0.25">
      <c r="A58" s="2" t="s">
        <v>244</v>
      </c>
      <c r="B58" s="2">
        <v>4</v>
      </c>
      <c r="C58" s="2" t="s">
        <v>100</v>
      </c>
      <c r="D58" s="2" t="s">
        <v>16</v>
      </c>
      <c r="E58" s="45">
        <v>7</v>
      </c>
      <c r="F58" s="2" t="s">
        <v>103</v>
      </c>
      <c r="G58" s="49">
        <f>VLOOKUP(C:C,yedekparca!A:D,3,0)</f>
        <v>7.1302325581395358</v>
      </c>
      <c r="H58" s="49">
        <f t="shared" si="0"/>
        <v>49.911627906976747</v>
      </c>
    </row>
    <row r="59" spans="1:8" ht="12" customHeight="1" outlineLevel="2" x14ac:dyDescent="0.25">
      <c r="A59" s="2" t="s">
        <v>244</v>
      </c>
      <c r="B59" s="2">
        <v>5</v>
      </c>
      <c r="C59" s="2" t="s">
        <v>23</v>
      </c>
      <c r="D59" s="2" t="s">
        <v>101</v>
      </c>
      <c r="E59" s="45">
        <v>8.1999999999999993</v>
      </c>
      <c r="F59" s="2" t="s">
        <v>103</v>
      </c>
      <c r="G59" s="49">
        <f>VLOOKUP(C:C,yedekparca!A:D,3,0)</f>
        <v>3.6976744186046511</v>
      </c>
      <c r="H59" s="49">
        <f t="shared" si="0"/>
        <v>30.320930232558137</v>
      </c>
    </row>
    <row r="60" spans="1:8" ht="12" customHeight="1" outlineLevel="2" x14ac:dyDescent="0.25">
      <c r="A60" s="2" t="s">
        <v>244</v>
      </c>
      <c r="B60" s="2">
        <v>6</v>
      </c>
      <c r="C60" s="3" t="s">
        <v>1</v>
      </c>
      <c r="D60" s="3" t="s">
        <v>2</v>
      </c>
      <c r="E60" s="45">
        <v>1</v>
      </c>
      <c r="F60" s="2" t="s">
        <v>98</v>
      </c>
      <c r="G60" s="49">
        <f>VLOOKUP(C:C,yedekparca!A:D,3,0)</f>
        <v>58.139534883720927</v>
      </c>
      <c r="H60" s="49">
        <f t="shared" si="0"/>
        <v>58.139534883720927</v>
      </c>
    </row>
    <row r="61" spans="1:8" ht="12" customHeight="1" outlineLevel="1" x14ac:dyDescent="0.25">
      <c r="A61" s="2">
        <f>SUBTOTAL(9,A55:A60)</f>
        <v>0</v>
      </c>
      <c r="B61" s="2"/>
      <c r="C61" s="3"/>
      <c r="D61" s="3"/>
      <c r="E61" s="45"/>
      <c r="F61" s="2"/>
      <c r="G61" s="50" t="s">
        <v>288</v>
      </c>
      <c r="H61" s="49">
        <f>SUBTOTAL(9,H55:H60)</f>
        <v>224.73826095348835</v>
      </c>
    </row>
    <row r="62" spans="1:8" ht="12" customHeight="1" outlineLevel="2" x14ac:dyDescent="0.25">
      <c r="A62" s="2" t="s">
        <v>245</v>
      </c>
      <c r="B62" s="2">
        <v>1</v>
      </c>
      <c r="C62" s="17" t="s">
        <v>48</v>
      </c>
      <c r="D62" s="2" t="s">
        <v>49</v>
      </c>
      <c r="E62" s="45">
        <v>1</v>
      </c>
      <c r="F62" s="2" t="s">
        <v>98</v>
      </c>
      <c r="G62" s="49">
        <f>VLOOKUP(C:C,yedekparca!A:D,3,0)</f>
        <v>8.9415269999999989</v>
      </c>
      <c r="H62" s="49">
        <f t="shared" si="0"/>
        <v>8.9415269999999989</v>
      </c>
    </row>
    <row r="63" spans="1:8" ht="12" customHeight="1" outlineLevel="2" x14ac:dyDescent="0.25">
      <c r="A63" s="2" t="s">
        <v>245</v>
      </c>
      <c r="B63" s="2">
        <v>2</v>
      </c>
      <c r="C63" s="2" t="s">
        <v>104</v>
      </c>
      <c r="D63" s="2" t="s">
        <v>27</v>
      </c>
      <c r="E63" s="45">
        <v>8.1999999999999993</v>
      </c>
      <c r="F63" s="2" t="s">
        <v>103</v>
      </c>
      <c r="G63" s="49">
        <f>VLOOKUP(C:C,yedekparca!A:D,3,0)</f>
        <v>4.7906976744186043</v>
      </c>
      <c r="H63" s="49">
        <f t="shared" si="0"/>
        <v>39.283720930232555</v>
      </c>
    </row>
    <row r="64" spans="1:8" ht="12" customHeight="1" outlineLevel="2" x14ac:dyDescent="0.25">
      <c r="A64" s="2" t="s">
        <v>245</v>
      </c>
      <c r="B64" s="2">
        <v>3</v>
      </c>
      <c r="C64" s="5" t="s">
        <v>87</v>
      </c>
      <c r="D64" s="2" t="s">
        <v>86</v>
      </c>
      <c r="E64" s="45">
        <v>1</v>
      </c>
      <c r="F64" s="2" t="s">
        <v>98</v>
      </c>
      <c r="G64" s="49">
        <f>VLOOKUP(C:C,yedekparca!A:D,3,0)</f>
        <v>38.140919999999994</v>
      </c>
      <c r="H64" s="49">
        <f t="shared" si="0"/>
        <v>38.140919999999994</v>
      </c>
    </row>
    <row r="65" spans="1:8" ht="12" customHeight="1" outlineLevel="2" x14ac:dyDescent="0.25">
      <c r="A65" s="2" t="s">
        <v>245</v>
      </c>
      <c r="B65" s="2">
        <v>4</v>
      </c>
      <c r="C65" s="2" t="s">
        <v>100</v>
      </c>
      <c r="D65" s="2" t="s">
        <v>16</v>
      </c>
      <c r="E65" s="45">
        <v>7</v>
      </c>
      <c r="F65" s="2" t="s">
        <v>103</v>
      </c>
      <c r="G65" s="49">
        <f>VLOOKUP(C:C,yedekparca!A:D,3,0)</f>
        <v>7.1302325581395358</v>
      </c>
      <c r="H65" s="49">
        <f t="shared" si="0"/>
        <v>49.911627906976747</v>
      </c>
    </row>
    <row r="66" spans="1:8" ht="12" customHeight="1" outlineLevel="2" x14ac:dyDescent="0.25">
      <c r="A66" s="2" t="s">
        <v>245</v>
      </c>
      <c r="B66" s="2">
        <v>5</v>
      </c>
      <c r="C66" s="2" t="s">
        <v>23</v>
      </c>
      <c r="D66" s="2" t="s">
        <v>101</v>
      </c>
      <c r="E66" s="45">
        <v>8.1999999999999993</v>
      </c>
      <c r="F66" s="2" t="s">
        <v>103</v>
      </c>
      <c r="G66" s="49">
        <f>VLOOKUP(C:C,yedekparca!A:D,3,0)</f>
        <v>3.6976744186046511</v>
      </c>
      <c r="H66" s="49">
        <f t="shared" si="0"/>
        <v>30.320930232558137</v>
      </c>
    </row>
    <row r="67" spans="1:8" ht="12" customHeight="1" outlineLevel="2" x14ac:dyDescent="0.25">
      <c r="A67" s="2" t="s">
        <v>245</v>
      </c>
      <c r="B67" s="2">
        <v>6</v>
      </c>
      <c r="C67" s="3" t="s">
        <v>1</v>
      </c>
      <c r="D67" s="3" t="s">
        <v>2</v>
      </c>
      <c r="E67" s="45">
        <v>1</v>
      </c>
      <c r="F67" s="2" t="s">
        <v>98</v>
      </c>
      <c r="G67" s="49">
        <f>VLOOKUP(C:C,yedekparca!A:D,3,0)</f>
        <v>58.139534883720927</v>
      </c>
      <c r="H67" s="49">
        <f t="shared" si="0"/>
        <v>58.139534883720927</v>
      </c>
    </row>
    <row r="68" spans="1:8" ht="12" customHeight="1" outlineLevel="1" x14ac:dyDescent="0.25">
      <c r="A68" s="2">
        <f>SUBTOTAL(9,A62:A67)</f>
        <v>0</v>
      </c>
      <c r="B68" s="2"/>
      <c r="C68" s="3"/>
      <c r="D68" s="3"/>
      <c r="E68" s="45"/>
      <c r="F68" s="2"/>
      <c r="G68" s="50" t="s">
        <v>289</v>
      </c>
      <c r="H68" s="49">
        <f>SUBTOTAL(9,H62:H67)</f>
        <v>224.73826095348835</v>
      </c>
    </row>
    <row r="69" spans="1:8" ht="12" customHeight="1" outlineLevel="2" x14ac:dyDescent="0.25">
      <c r="A69" s="2" t="s">
        <v>246</v>
      </c>
      <c r="B69" s="2">
        <v>1</v>
      </c>
      <c r="C69" s="17" t="s">
        <v>48</v>
      </c>
      <c r="D69" s="2" t="s">
        <v>49</v>
      </c>
      <c r="E69" s="45">
        <v>1</v>
      </c>
      <c r="F69" s="2" t="s">
        <v>98</v>
      </c>
      <c r="G69" s="49">
        <f>VLOOKUP(C:C,yedekparca!A:D,3,0)</f>
        <v>8.9415269999999989</v>
      </c>
      <c r="H69" s="49">
        <f t="shared" si="0"/>
        <v>8.9415269999999989</v>
      </c>
    </row>
    <row r="70" spans="1:8" ht="12" customHeight="1" outlineLevel="2" x14ac:dyDescent="0.25">
      <c r="A70" s="2" t="s">
        <v>246</v>
      </c>
      <c r="B70" s="2">
        <v>2</v>
      </c>
      <c r="C70" s="2" t="s">
        <v>104</v>
      </c>
      <c r="D70" s="2" t="s">
        <v>27</v>
      </c>
      <c r="E70" s="45">
        <v>8.1999999999999993</v>
      </c>
      <c r="F70" s="2" t="s">
        <v>103</v>
      </c>
      <c r="G70" s="49">
        <f>VLOOKUP(C:C,yedekparca!A:D,3,0)</f>
        <v>4.7906976744186043</v>
      </c>
      <c r="H70" s="49">
        <f t="shared" si="0"/>
        <v>39.283720930232555</v>
      </c>
    </row>
    <row r="71" spans="1:8" ht="12" customHeight="1" outlineLevel="2" x14ac:dyDescent="0.25">
      <c r="A71" s="2" t="s">
        <v>246</v>
      </c>
      <c r="B71" s="2">
        <v>3</v>
      </c>
      <c r="C71" s="7" t="s">
        <v>72</v>
      </c>
      <c r="D71" s="2" t="s">
        <v>73</v>
      </c>
      <c r="E71" s="45">
        <v>1</v>
      </c>
      <c r="F71" s="2" t="s">
        <v>98</v>
      </c>
      <c r="G71" s="49">
        <f>VLOOKUP(C:C,yedekparca!A:D,3,0)</f>
        <v>17.307341999999998</v>
      </c>
      <c r="H71" s="49">
        <f t="shared" si="0"/>
        <v>17.307341999999998</v>
      </c>
    </row>
    <row r="72" spans="1:8" ht="12" customHeight="1" outlineLevel="2" x14ac:dyDescent="0.25">
      <c r="A72" s="2" t="s">
        <v>246</v>
      </c>
      <c r="B72" s="2">
        <v>4</v>
      </c>
      <c r="C72" s="7" t="s">
        <v>88</v>
      </c>
      <c r="D72" s="2" t="s">
        <v>36</v>
      </c>
      <c r="E72" s="45">
        <v>1</v>
      </c>
      <c r="F72" s="2" t="s">
        <v>98</v>
      </c>
      <c r="G72" s="49">
        <f>VLOOKUP(C:C,yedekparca!A:D,3,0)</f>
        <v>21.589199999999998</v>
      </c>
      <c r="H72" s="49">
        <f t="shared" si="0"/>
        <v>21.589199999999998</v>
      </c>
    </row>
    <row r="73" spans="1:8" ht="12" customHeight="1" outlineLevel="2" x14ac:dyDescent="0.25">
      <c r="A73" s="2" t="s">
        <v>246</v>
      </c>
      <c r="B73" s="2">
        <v>5</v>
      </c>
      <c r="C73" s="7" t="s">
        <v>89</v>
      </c>
      <c r="D73" s="2" t="s">
        <v>34</v>
      </c>
      <c r="E73" s="45">
        <v>1</v>
      </c>
      <c r="F73" s="2" t="s">
        <v>98</v>
      </c>
      <c r="G73" s="49">
        <f>VLOOKUP(C:C,yedekparca!A:D,3,0)</f>
        <v>21.589199999999998</v>
      </c>
      <c r="H73" s="49">
        <f t="shared" si="0"/>
        <v>21.589199999999998</v>
      </c>
    </row>
    <row r="74" spans="1:8" ht="12" customHeight="1" outlineLevel="2" x14ac:dyDescent="0.25">
      <c r="A74" s="2" t="s">
        <v>246</v>
      </c>
      <c r="B74" s="2">
        <v>6</v>
      </c>
      <c r="C74" s="7" t="s">
        <v>50</v>
      </c>
      <c r="D74" s="2" t="s">
        <v>46</v>
      </c>
      <c r="E74" s="45">
        <v>1</v>
      </c>
      <c r="F74" s="2" t="s">
        <v>98</v>
      </c>
      <c r="G74" s="49">
        <f>VLOOKUP(C:C,yedekparca!A:D,3,0)</f>
        <v>75.004478999999989</v>
      </c>
      <c r="H74" s="49">
        <f t="shared" ref="H74:H143" si="1">E74*G74</f>
        <v>75.004478999999989</v>
      </c>
    </row>
    <row r="75" spans="1:8" ht="12" customHeight="1" outlineLevel="2" x14ac:dyDescent="0.25">
      <c r="A75" s="2" t="s">
        <v>246</v>
      </c>
      <c r="B75" s="2">
        <v>7</v>
      </c>
      <c r="C75" s="3" t="s">
        <v>3</v>
      </c>
      <c r="D75" s="3" t="s">
        <v>4</v>
      </c>
      <c r="E75" s="45">
        <v>1</v>
      </c>
      <c r="F75" s="2" t="s">
        <v>98</v>
      </c>
      <c r="G75" s="49">
        <f>VLOOKUP(C:C,yedekparca!A:D,3,0)</f>
        <v>93.023255813953483</v>
      </c>
      <c r="H75" s="49">
        <f t="shared" si="1"/>
        <v>93.023255813953483</v>
      </c>
    </row>
    <row r="76" spans="1:8" ht="12" customHeight="1" outlineLevel="1" x14ac:dyDescent="0.25">
      <c r="A76" s="2">
        <f>SUBTOTAL(9,A69:A75)</f>
        <v>0</v>
      </c>
      <c r="B76" s="2"/>
      <c r="C76" s="3"/>
      <c r="D76" s="3"/>
      <c r="E76" s="45"/>
      <c r="F76" s="2"/>
      <c r="G76" s="50" t="s">
        <v>290</v>
      </c>
      <c r="H76" s="49">
        <f>SUBTOTAL(9,H69:H75)</f>
        <v>276.73872474418602</v>
      </c>
    </row>
    <row r="77" spans="1:8" outlineLevel="2" x14ac:dyDescent="0.25">
      <c r="A77" s="2" t="s">
        <v>247</v>
      </c>
      <c r="B77" s="2">
        <v>1</v>
      </c>
      <c r="C77" s="6" t="s">
        <v>48</v>
      </c>
      <c r="D77" s="2" t="s">
        <v>49</v>
      </c>
      <c r="E77" s="45">
        <v>1</v>
      </c>
      <c r="F77" s="2" t="s">
        <v>98</v>
      </c>
      <c r="G77" s="49">
        <f>VLOOKUP(C:C,yedekparca!A:D,3,0)</f>
        <v>8.9415269999999989</v>
      </c>
      <c r="H77" s="49">
        <f t="shared" si="1"/>
        <v>8.9415269999999989</v>
      </c>
    </row>
    <row r="78" spans="1:8" outlineLevel="2" x14ac:dyDescent="0.25">
      <c r="A78" s="2" t="s">
        <v>247</v>
      </c>
      <c r="B78" s="2">
        <v>2</v>
      </c>
      <c r="C78" s="2" t="s">
        <v>104</v>
      </c>
      <c r="D78" s="2" t="s">
        <v>27</v>
      </c>
      <c r="E78" s="45">
        <v>8.1999999999999993</v>
      </c>
      <c r="F78" s="2" t="s">
        <v>103</v>
      </c>
      <c r="G78" s="49">
        <f>VLOOKUP(C:C,yedekparca!A:D,3,0)</f>
        <v>4.7906976744186043</v>
      </c>
      <c r="H78" s="49">
        <f t="shared" si="1"/>
        <v>39.283720930232555</v>
      </c>
    </row>
    <row r="79" spans="1:8" outlineLevel="2" x14ac:dyDescent="0.25">
      <c r="A79" s="2" t="s">
        <v>247</v>
      </c>
      <c r="B79" s="2">
        <v>3</v>
      </c>
      <c r="C79" s="7" t="s">
        <v>50</v>
      </c>
      <c r="D79" s="2" t="s">
        <v>46</v>
      </c>
      <c r="E79" s="45">
        <v>1</v>
      </c>
      <c r="F79" s="2" t="s">
        <v>98</v>
      </c>
      <c r="G79" s="49">
        <f>VLOOKUP(C:C,yedekparca!A:D,3,0)</f>
        <v>75.004478999999989</v>
      </c>
      <c r="H79" s="49">
        <f t="shared" si="1"/>
        <v>75.004478999999989</v>
      </c>
    </row>
    <row r="80" spans="1:8" outlineLevel="2" x14ac:dyDescent="0.25">
      <c r="A80" s="2" t="s">
        <v>247</v>
      </c>
      <c r="B80" s="2">
        <v>4</v>
      </c>
      <c r="C80" s="7" t="s">
        <v>88</v>
      </c>
      <c r="D80" s="2" t="s">
        <v>36</v>
      </c>
      <c r="E80" s="45">
        <v>1</v>
      </c>
      <c r="F80" s="2" t="s">
        <v>98</v>
      </c>
      <c r="G80" s="49">
        <f>VLOOKUP(C:C,yedekparca!A:D,3,0)</f>
        <v>21.589199999999998</v>
      </c>
      <c r="H80" s="49">
        <f t="shared" si="1"/>
        <v>21.589199999999998</v>
      </c>
    </row>
    <row r="81" spans="1:8" outlineLevel="2" x14ac:dyDescent="0.25">
      <c r="A81" s="2" t="s">
        <v>247</v>
      </c>
      <c r="B81" s="2">
        <v>5</v>
      </c>
      <c r="C81" s="7" t="s">
        <v>89</v>
      </c>
      <c r="D81" s="2" t="s">
        <v>34</v>
      </c>
      <c r="E81" s="45">
        <v>1</v>
      </c>
      <c r="F81" s="2" t="s">
        <v>98</v>
      </c>
      <c r="G81" s="49">
        <f>VLOOKUP(C:C,yedekparca!A:D,3,0)</f>
        <v>21.589199999999998</v>
      </c>
      <c r="H81" s="49">
        <f t="shared" si="1"/>
        <v>21.589199999999998</v>
      </c>
    </row>
    <row r="82" spans="1:8" outlineLevel="2" x14ac:dyDescent="0.25">
      <c r="A82" s="2" t="s">
        <v>247</v>
      </c>
      <c r="B82" s="2">
        <v>6</v>
      </c>
      <c r="C82" s="8" t="s">
        <v>87</v>
      </c>
      <c r="D82" s="2" t="s">
        <v>86</v>
      </c>
      <c r="E82" s="45">
        <v>1</v>
      </c>
      <c r="F82" s="2" t="s">
        <v>98</v>
      </c>
      <c r="G82" s="49">
        <f>VLOOKUP(C:C,yedekparca!A:D,3,0)</f>
        <v>38.140919999999994</v>
      </c>
      <c r="H82" s="49">
        <f t="shared" si="1"/>
        <v>38.140919999999994</v>
      </c>
    </row>
    <row r="83" spans="1:8" outlineLevel="2" x14ac:dyDescent="0.25">
      <c r="A83" s="2" t="s">
        <v>247</v>
      </c>
      <c r="B83" s="2">
        <v>7</v>
      </c>
      <c r="C83" s="6" t="s">
        <v>100</v>
      </c>
      <c r="D83" s="2" t="s">
        <v>16</v>
      </c>
      <c r="E83" s="45">
        <v>7</v>
      </c>
      <c r="F83" s="2" t="s">
        <v>103</v>
      </c>
      <c r="G83" s="49">
        <f>VLOOKUP(C:C,yedekparca!A:D,3,0)</f>
        <v>7.1302325581395358</v>
      </c>
      <c r="H83" s="49">
        <f t="shared" si="1"/>
        <v>49.911627906976747</v>
      </c>
    </row>
    <row r="84" spans="1:8" outlineLevel="2" x14ac:dyDescent="0.25">
      <c r="A84" s="2" t="s">
        <v>247</v>
      </c>
      <c r="B84" s="2">
        <v>8</v>
      </c>
      <c r="C84" s="6" t="s">
        <v>23</v>
      </c>
      <c r="D84" s="2" t="s">
        <v>101</v>
      </c>
      <c r="E84" s="45">
        <v>8.1999999999999993</v>
      </c>
      <c r="F84" s="2" t="s">
        <v>103</v>
      </c>
      <c r="G84" s="49">
        <f>VLOOKUP(C:C,yedekparca!A:D,3,0)</f>
        <v>3.6976744186046511</v>
      </c>
      <c r="H84" s="49">
        <f t="shared" si="1"/>
        <v>30.320930232558137</v>
      </c>
    </row>
    <row r="85" spans="1:8" outlineLevel="2" x14ac:dyDescent="0.25">
      <c r="A85" s="2" t="s">
        <v>247</v>
      </c>
      <c r="B85" s="2">
        <v>9</v>
      </c>
      <c r="C85" s="2" t="s">
        <v>17</v>
      </c>
      <c r="D85" s="2" t="s">
        <v>18</v>
      </c>
      <c r="E85" s="45">
        <v>0.5</v>
      </c>
      <c r="F85" s="2" t="s">
        <v>103</v>
      </c>
      <c r="G85" s="49">
        <f>VLOOKUP(C:C,yedekparca!A:D,3,0)</f>
        <v>2.8069767441860467</v>
      </c>
      <c r="H85" s="49">
        <f t="shared" si="1"/>
        <v>1.4034883720930234</v>
      </c>
    </row>
    <row r="86" spans="1:8" outlineLevel="2" x14ac:dyDescent="0.25">
      <c r="A86" s="2" t="s">
        <v>247</v>
      </c>
      <c r="B86" s="2">
        <v>10</v>
      </c>
      <c r="C86" s="7" t="s">
        <v>71</v>
      </c>
      <c r="D86" s="2" t="s">
        <v>70</v>
      </c>
      <c r="E86" s="45">
        <v>1</v>
      </c>
      <c r="F86" s="2" t="s">
        <v>98</v>
      </c>
      <c r="G86" s="49">
        <f>VLOOKUP(C:C,yedekparca!A:D,3,0)</f>
        <v>33.679151999999995</v>
      </c>
      <c r="H86" s="49">
        <f t="shared" si="1"/>
        <v>33.679151999999995</v>
      </c>
    </row>
    <row r="87" spans="1:8" outlineLevel="2" x14ac:dyDescent="0.25">
      <c r="A87" s="2" t="s">
        <v>247</v>
      </c>
      <c r="B87" s="2">
        <v>11</v>
      </c>
      <c r="C87" s="8" t="s">
        <v>143</v>
      </c>
      <c r="D87" s="2" t="s">
        <v>68</v>
      </c>
      <c r="E87" s="45">
        <v>1</v>
      </c>
      <c r="F87" s="2" t="s">
        <v>98</v>
      </c>
      <c r="G87" s="49">
        <f>VLOOKUP(C:C,yedekparca!A:D,3,0)</f>
        <v>20.167911</v>
      </c>
      <c r="H87" s="49">
        <f t="shared" si="1"/>
        <v>20.167911</v>
      </c>
    </row>
    <row r="88" spans="1:8" outlineLevel="2" x14ac:dyDescent="0.25">
      <c r="A88" s="2" t="s">
        <v>247</v>
      </c>
      <c r="B88" s="2">
        <v>12</v>
      </c>
      <c r="C88" s="7" t="s">
        <v>72</v>
      </c>
      <c r="D88" s="2" t="s">
        <v>65</v>
      </c>
      <c r="E88" s="45">
        <v>1</v>
      </c>
      <c r="F88" s="2" t="s">
        <v>98</v>
      </c>
      <c r="G88" s="49">
        <f>VLOOKUP(C:C,yedekparca!A:D,3,0)</f>
        <v>17.307341999999998</v>
      </c>
      <c r="H88" s="49">
        <f t="shared" si="1"/>
        <v>17.307341999999998</v>
      </c>
    </row>
    <row r="89" spans="1:8" outlineLevel="2" x14ac:dyDescent="0.25">
      <c r="A89" s="2" t="s">
        <v>247</v>
      </c>
      <c r="B89" s="2">
        <v>13</v>
      </c>
      <c r="C89" s="3" t="s">
        <v>5</v>
      </c>
      <c r="D89" s="3" t="s">
        <v>6</v>
      </c>
      <c r="E89" s="45">
        <v>1</v>
      </c>
      <c r="F89" s="2" t="s">
        <v>98</v>
      </c>
      <c r="G89" s="49">
        <f>VLOOKUP(C:C,yedekparca!A:D,3,0)</f>
        <v>139.53488372093022</v>
      </c>
      <c r="H89" s="49">
        <f t="shared" si="1"/>
        <v>139.53488372093022</v>
      </c>
    </row>
    <row r="90" spans="1:8" outlineLevel="1" x14ac:dyDescent="0.25">
      <c r="A90" s="2">
        <f>SUBTOTAL(9,A77:A89)</f>
        <v>0</v>
      </c>
      <c r="B90" s="2"/>
      <c r="C90" s="3"/>
      <c r="D90" s="3"/>
      <c r="E90" s="45"/>
      <c r="F90" s="2"/>
      <c r="G90" s="50" t="s">
        <v>291</v>
      </c>
      <c r="H90" s="49">
        <f>SUBTOTAL(9,H77:H89)</f>
        <v>496.87438216279065</v>
      </c>
    </row>
    <row r="91" spans="1:8" outlineLevel="2" x14ac:dyDescent="0.25">
      <c r="A91" s="2" t="s">
        <v>248</v>
      </c>
      <c r="B91" s="2">
        <v>1</v>
      </c>
      <c r="C91" s="6" t="s">
        <v>48</v>
      </c>
      <c r="D91" s="2" t="s">
        <v>49</v>
      </c>
      <c r="E91" s="45">
        <v>1</v>
      </c>
      <c r="F91" s="2" t="s">
        <v>98</v>
      </c>
      <c r="G91" s="49">
        <f>VLOOKUP(C:C,yedekparca!A:D,3,0)</f>
        <v>8.9415269999999989</v>
      </c>
      <c r="H91" s="49">
        <f t="shared" si="1"/>
        <v>8.9415269999999989</v>
      </c>
    </row>
    <row r="92" spans="1:8" outlineLevel="2" x14ac:dyDescent="0.25">
      <c r="A92" s="2" t="s">
        <v>248</v>
      </c>
      <c r="B92" s="2">
        <v>2</v>
      </c>
      <c r="C92" s="2" t="s">
        <v>104</v>
      </c>
      <c r="D92" s="2" t="s">
        <v>27</v>
      </c>
      <c r="E92" s="45">
        <v>8.1999999999999993</v>
      </c>
      <c r="F92" s="2" t="s">
        <v>103</v>
      </c>
      <c r="G92" s="49">
        <f>VLOOKUP(C:C,yedekparca!A:D,3,0)</f>
        <v>4.7906976744186043</v>
      </c>
      <c r="H92" s="49">
        <f t="shared" si="1"/>
        <v>39.283720930232555</v>
      </c>
    </row>
    <row r="93" spans="1:8" outlineLevel="2" x14ac:dyDescent="0.25">
      <c r="A93" s="2" t="s">
        <v>248</v>
      </c>
      <c r="B93" s="2">
        <v>3</v>
      </c>
      <c r="C93" s="7" t="s">
        <v>50</v>
      </c>
      <c r="D93" s="2" t="s">
        <v>46</v>
      </c>
      <c r="E93" s="45">
        <v>1</v>
      </c>
      <c r="F93" s="2" t="s">
        <v>98</v>
      </c>
      <c r="G93" s="49">
        <f>VLOOKUP(C:C,yedekparca!A:D,3,0)</f>
        <v>75.004478999999989</v>
      </c>
      <c r="H93" s="49">
        <f t="shared" si="1"/>
        <v>75.004478999999989</v>
      </c>
    </row>
    <row r="94" spans="1:8" outlineLevel="2" x14ac:dyDescent="0.25">
      <c r="A94" s="2" t="s">
        <v>248</v>
      </c>
      <c r="B94" s="2">
        <v>4</v>
      </c>
      <c r="C94" s="7" t="s">
        <v>88</v>
      </c>
      <c r="D94" s="2" t="s">
        <v>36</v>
      </c>
      <c r="E94" s="45">
        <v>1</v>
      </c>
      <c r="F94" s="2" t="s">
        <v>98</v>
      </c>
      <c r="G94" s="49">
        <f>VLOOKUP(C:C,yedekparca!A:D,3,0)</f>
        <v>21.589199999999998</v>
      </c>
      <c r="H94" s="49">
        <f t="shared" si="1"/>
        <v>21.589199999999998</v>
      </c>
    </row>
    <row r="95" spans="1:8" outlineLevel="2" x14ac:dyDescent="0.25">
      <c r="A95" s="2" t="s">
        <v>248</v>
      </c>
      <c r="B95" s="2">
        <v>5</v>
      </c>
      <c r="C95" s="7" t="s">
        <v>89</v>
      </c>
      <c r="D95" s="2" t="s">
        <v>34</v>
      </c>
      <c r="E95" s="45">
        <v>1</v>
      </c>
      <c r="F95" s="2" t="s">
        <v>98</v>
      </c>
      <c r="G95" s="49">
        <f>VLOOKUP(C:C,yedekparca!A:D,3,0)</f>
        <v>21.589199999999998</v>
      </c>
      <c r="H95" s="49">
        <f t="shared" si="1"/>
        <v>21.589199999999998</v>
      </c>
    </row>
    <row r="96" spans="1:8" outlineLevel="2" x14ac:dyDescent="0.25">
      <c r="A96" s="2" t="s">
        <v>248</v>
      </c>
      <c r="B96" s="2">
        <v>6</v>
      </c>
      <c r="C96" s="8" t="s">
        <v>87</v>
      </c>
      <c r="D96" s="2" t="s">
        <v>86</v>
      </c>
      <c r="E96" s="45">
        <v>1</v>
      </c>
      <c r="F96" s="2" t="s">
        <v>98</v>
      </c>
      <c r="G96" s="49">
        <f>VLOOKUP(C:C,yedekparca!A:D,3,0)</f>
        <v>38.140919999999994</v>
      </c>
      <c r="H96" s="49">
        <f t="shared" si="1"/>
        <v>38.140919999999994</v>
      </c>
    </row>
    <row r="97" spans="1:8" outlineLevel="2" x14ac:dyDescent="0.25">
      <c r="A97" s="2" t="s">
        <v>248</v>
      </c>
      <c r="B97" s="2">
        <v>7</v>
      </c>
      <c r="C97" s="6" t="s">
        <v>100</v>
      </c>
      <c r="D97" s="2" t="s">
        <v>16</v>
      </c>
      <c r="E97" s="45">
        <v>7</v>
      </c>
      <c r="F97" s="2" t="s">
        <v>103</v>
      </c>
      <c r="G97" s="49">
        <f>VLOOKUP(C:C,yedekparca!A:D,3,0)</f>
        <v>7.1302325581395358</v>
      </c>
      <c r="H97" s="49">
        <f t="shared" si="1"/>
        <v>49.911627906976747</v>
      </c>
    </row>
    <row r="98" spans="1:8" outlineLevel="2" x14ac:dyDescent="0.25">
      <c r="A98" s="2" t="s">
        <v>248</v>
      </c>
      <c r="B98" s="2">
        <v>8</v>
      </c>
      <c r="C98" s="6" t="s">
        <v>23</v>
      </c>
      <c r="D98" s="2" t="s">
        <v>101</v>
      </c>
      <c r="E98" s="45">
        <v>8.1999999999999993</v>
      </c>
      <c r="F98" s="2" t="s">
        <v>103</v>
      </c>
      <c r="G98" s="49">
        <f>VLOOKUP(C:C,yedekparca!A:D,3,0)</f>
        <v>3.6976744186046511</v>
      </c>
      <c r="H98" s="49">
        <f t="shared" si="1"/>
        <v>30.320930232558137</v>
      </c>
    </row>
    <row r="99" spans="1:8" outlineLevel="2" x14ac:dyDescent="0.25">
      <c r="A99" s="2" t="s">
        <v>248</v>
      </c>
      <c r="B99" s="2">
        <v>9</v>
      </c>
      <c r="C99" s="2" t="s">
        <v>17</v>
      </c>
      <c r="D99" s="2" t="s">
        <v>18</v>
      </c>
      <c r="E99" s="45">
        <v>0.5</v>
      </c>
      <c r="F99" s="2" t="s">
        <v>103</v>
      </c>
      <c r="G99" s="49">
        <f>VLOOKUP(C:C,yedekparca!A:D,3,0)</f>
        <v>2.8069767441860467</v>
      </c>
      <c r="H99" s="49">
        <f t="shared" si="1"/>
        <v>1.4034883720930234</v>
      </c>
    </row>
    <row r="100" spans="1:8" outlineLevel="2" x14ac:dyDescent="0.25">
      <c r="A100" s="2" t="s">
        <v>248</v>
      </c>
      <c r="B100" s="2">
        <v>10</v>
      </c>
      <c r="C100" s="7" t="s">
        <v>71</v>
      </c>
      <c r="D100" s="2" t="s">
        <v>70</v>
      </c>
      <c r="E100" s="45">
        <v>1</v>
      </c>
      <c r="F100" s="2" t="s">
        <v>98</v>
      </c>
      <c r="G100" s="49">
        <f>VLOOKUP(C:C,yedekparca!A:D,3,0)</f>
        <v>33.679151999999995</v>
      </c>
      <c r="H100" s="49">
        <f t="shared" si="1"/>
        <v>33.679151999999995</v>
      </c>
    </row>
    <row r="101" spans="1:8" outlineLevel="2" x14ac:dyDescent="0.25">
      <c r="A101" s="2" t="s">
        <v>248</v>
      </c>
      <c r="B101" s="2">
        <v>11</v>
      </c>
      <c r="C101" s="8" t="s">
        <v>143</v>
      </c>
      <c r="D101" s="2" t="s">
        <v>68</v>
      </c>
      <c r="E101" s="45">
        <v>1</v>
      </c>
      <c r="F101" s="2" t="s">
        <v>98</v>
      </c>
      <c r="G101" s="49">
        <f>VLOOKUP(C:C,yedekparca!A:D,3,0)</f>
        <v>20.167911</v>
      </c>
      <c r="H101" s="49">
        <f t="shared" si="1"/>
        <v>20.167911</v>
      </c>
    </row>
    <row r="102" spans="1:8" outlineLevel="2" x14ac:dyDescent="0.25">
      <c r="A102" s="2" t="s">
        <v>248</v>
      </c>
      <c r="B102" s="2">
        <v>12</v>
      </c>
      <c r="C102" s="7" t="s">
        <v>72</v>
      </c>
      <c r="D102" s="2" t="s">
        <v>65</v>
      </c>
      <c r="E102" s="45">
        <v>1</v>
      </c>
      <c r="F102" s="2" t="s">
        <v>98</v>
      </c>
      <c r="G102" s="49">
        <f>VLOOKUP(C:C,yedekparca!A:D,3,0)</f>
        <v>17.307341999999998</v>
      </c>
      <c r="H102" s="49">
        <f t="shared" si="1"/>
        <v>17.307341999999998</v>
      </c>
    </row>
    <row r="103" spans="1:8" outlineLevel="2" x14ac:dyDescent="0.25">
      <c r="A103" s="2" t="s">
        <v>248</v>
      </c>
      <c r="B103" s="2">
        <v>13</v>
      </c>
      <c r="C103" s="2" t="s">
        <v>19</v>
      </c>
      <c r="D103" s="2" t="s">
        <v>20</v>
      </c>
      <c r="E103" s="45">
        <v>38</v>
      </c>
      <c r="F103" s="2" t="s">
        <v>103</v>
      </c>
      <c r="G103" s="49">
        <f>VLOOKUP(C:C,yedekparca!A:D,3,0)</f>
        <v>2.6911627906976743</v>
      </c>
      <c r="H103" s="49">
        <f t="shared" si="1"/>
        <v>102.26418604651163</v>
      </c>
    </row>
    <row r="104" spans="1:8" outlineLevel="2" x14ac:dyDescent="0.25">
      <c r="A104" s="2" t="s">
        <v>248</v>
      </c>
      <c r="B104" s="2">
        <v>14</v>
      </c>
      <c r="C104" s="3" t="s">
        <v>5</v>
      </c>
      <c r="D104" s="3" t="s">
        <v>6</v>
      </c>
      <c r="E104" s="45">
        <v>1</v>
      </c>
      <c r="F104" s="2" t="s">
        <v>98</v>
      </c>
      <c r="G104" s="49">
        <f>VLOOKUP(C:C,yedekparca!A:D,3,0)</f>
        <v>139.53488372093022</v>
      </c>
      <c r="H104" s="49">
        <f t="shared" si="1"/>
        <v>139.53488372093022</v>
      </c>
    </row>
    <row r="105" spans="1:8" outlineLevel="1" x14ac:dyDescent="0.25">
      <c r="A105" s="2">
        <f>SUBTOTAL(9,A91:A104)</f>
        <v>0</v>
      </c>
      <c r="B105" s="2"/>
      <c r="C105" s="3"/>
      <c r="D105" s="3"/>
      <c r="E105" s="45"/>
      <c r="F105" s="2"/>
      <c r="G105" s="50" t="s">
        <v>292</v>
      </c>
      <c r="H105" s="49">
        <f>SUBTOTAL(9,H91:H104)</f>
        <v>599.13856820930232</v>
      </c>
    </row>
    <row r="106" spans="1:8" outlineLevel="2" x14ac:dyDescent="0.25">
      <c r="A106" s="11" t="s">
        <v>249</v>
      </c>
      <c r="B106" s="11">
        <v>1</v>
      </c>
      <c r="C106" s="10" t="s">
        <v>99</v>
      </c>
      <c r="D106" s="11" t="s">
        <v>49</v>
      </c>
      <c r="E106" s="47">
        <v>1</v>
      </c>
      <c r="F106" s="2" t="s">
        <v>98</v>
      </c>
      <c r="G106" s="49">
        <f>VLOOKUP(C:C,yedekparca!A:D,3,0)</f>
        <v>8.0779589999999999</v>
      </c>
      <c r="H106" s="49">
        <f t="shared" si="1"/>
        <v>8.0779589999999999</v>
      </c>
    </row>
    <row r="107" spans="1:8" outlineLevel="2" x14ac:dyDescent="0.25">
      <c r="A107" s="11" t="s">
        <v>249</v>
      </c>
      <c r="B107" s="11">
        <v>2</v>
      </c>
      <c r="C107" s="11" t="s">
        <v>104</v>
      </c>
      <c r="D107" s="11" t="s">
        <v>27</v>
      </c>
      <c r="E107" s="47">
        <v>9.1</v>
      </c>
      <c r="F107" s="11" t="s">
        <v>103</v>
      </c>
      <c r="G107" s="49">
        <f>VLOOKUP(C:C,yedekparca!A:D,3,0)</f>
        <v>4.7906976744186043</v>
      </c>
      <c r="H107" s="49">
        <f t="shared" si="1"/>
        <v>43.595348837209301</v>
      </c>
    </row>
    <row r="108" spans="1:8" outlineLevel="2" x14ac:dyDescent="0.25">
      <c r="A108" s="11" t="s">
        <v>249</v>
      </c>
      <c r="B108" s="11">
        <v>3</v>
      </c>
      <c r="C108" s="10" t="s">
        <v>85</v>
      </c>
      <c r="D108" s="11" t="s">
        <v>86</v>
      </c>
      <c r="E108" s="47">
        <v>1</v>
      </c>
      <c r="F108" s="2" t="s">
        <v>98</v>
      </c>
      <c r="G108" s="49">
        <f>VLOOKUP(C:C,yedekparca!A:D,3,0)</f>
        <v>11.136429</v>
      </c>
      <c r="H108" s="49">
        <f t="shared" si="1"/>
        <v>11.136429</v>
      </c>
    </row>
    <row r="109" spans="1:8" outlineLevel="2" x14ac:dyDescent="0.25">
      <c r="A109" s="11" t="s">
        <v>249</v>
      </c>
      <c r="B109" s="11">
        <v>4</v>
      </c>
      <c r="C109" s="11" t="s">
        <v>100</v>
      </c>
      <c r="D109" s="11" t="s">
        <v>16</v>
      </c>
      <c r="E109" s="47">
        <v>17</v>
      </c>
      <c r="F109" s="11" t="s">
        <v>103</v>
      </c>
      <c r="G109" s="49">
        <f>VLOOKUP(C:C,yedekparca!A:D,3,0)</f>
        <v>7.1302325581395358</v>
      </c>
      <c r="H109" s="49">
        <f t="shared" si="1"/>
        <v>121.21395348837211</v>
      </c>
    </row>
    <row r="110" spans="1:8" outlineLevel="2" x14ac:dyDescent="0.25">
      <c r="A110" s="11" t="s">
        <v>249</v>
      </c>
      <c r="B110" s="11">
        <v>5</v>
      </c>
      <c r="C110" s="11" t="s">
        <v>23</v>
      </c>
      <c r="D110" s="11" t="s">
        <v>101</v>
      </c>
      <c r="E110" s="47">
        <v>13</v>
      </c>
      <c r="F110" s="11" t="s">
        <v>103</v>
      </c>
      <c r="G110" s="49">
        <f>VLOOKUP(C:C,yedekparca!A:D,3,0)</f>
        <v>3.6976744186046511</v>
      </c>
      <c r="H110" s="49">
        <f t="shared" si="1"/>
        <v>48.069767441860463</v>
      </c>
    </row>
    <row r="111" spans="1:8" outlineLevel="2" x14ac:dyDescent="0.25">
      <c r="A111" s="11" t="s">
        <v>249</v>
      </c>
      <c r="B111" s="11">
        <v>6</v>
      </c>
      <c r="C111" s="19" t="s">
        <v>1</v>
      </c>
      <c r="D111" s="19" t="s">
        <v>2</v>
      </c>
      <c r="E111" s="47">
        <v>1</v>
      </c>
      <c r="F111" s="2" t="s">
        <v>98</v>
      </c>
      <c r="G111" s="49">
        <f>VLOOKUP(C:C,yedekparca!A:D,3,0)</f>
        <v>58.139534883720927</v>
      </c>
      <c r="H111" s="49">
        <f t="shared" si="1"/>
        <v>58.139534883720927</v>
      </c>
    </row>
    <row r="112" spans="1:8" outlineLevel="1" x14ac:dyDescent="0.25">
      <c r="A112" s="11">
        <f>SUBTOTAL(9,A106:A111)</f>
        <v>0</v>
      </c>
      <c r="B112" s="11"/>
      <c r="C112" s="19"/>
      <c r="D112" s="19"/>
      <c r="E112" s="47"/>
      <c r="F112" s="2"/>
      <c r="G112" s="50" t="s">
        <v>293</v>
      </c>
      <c r="H112" s="49">
        <f>SUBTOTAL(9,H106:H111)</f>
        <v>290.23299265116282</v>
      </c>
    </row>
    <row r="113" spans="1:8" outlineLevel="2" x14ac:dyDescent="0.25">
      <c r="A113" s="11" t="s">
        <v>250</v>
      </c>
      <c r="B113" s="11">
        <v>1</v>
      </c>
      <c r="C113" s="10" t="s">
        <v>99</v>
      </c>
      <c r="D113" s="11" t="s">
        <v>49</v>
      </c>
      <c r="E113" s="47">
        <v>1</v>
      </c>
      <c r="F113" s="2" t="s">
        <v>98</v>
      </c>
      <c r="G113" s="49">
        <f>VLOOKUP(C:C,yedekparca!A:D,3,0)</f>
        <v>8.0779589999999999</v>
      </c>
      <c r="H113" s="49">
        <f t="shared" si="1"/>
        <v>8.0779589999999999</v>
      </c>
    </row>
    <row r="114" spans="1:8" outlineLevel="2" x14ac:dyDescent="0.25">
      <c r="A114" s="11" t="s">
        <v>250</v>
      </c>
      <c r="B114" s="11">
        <v>2</v>
      </c>
      <c r="C114" s="11" t="s">
        <v>104</v>
      </c>
      <c r="D114" s="11" t="s">
        <v>27</v>
      </c>
      <c r="E114" s="47">
        <v>9.1</v>
      </c>
      <c r="F114" s="11" t="s">
        <v>103</v>
      </c>
      <c r="G114" s="49">
        <f>VLOOKUP(C:C,yedekparca!A:D,3,0)</f>
        <v>4.7906976744186043</v>
      </c>
      <c r="H114" s="49">
        <f t="shared" si="1"/>
        <v>43.595348837209301</v>
      </c>
    </row>
    <row r="115" spans="1:8" outlineLevel="2" x14ac:dyDescent="0.25">
      <c r="A115" s="11" t="s">
        <v>250</v>
      </c>
      <c r="B115" s="11">
        <v>3</v>
      </c>
      <c r="C115" s="10" t="s">
        <v>85</v>
      </c>
      <c r="D115" s="11" t="s">
        <v>86</v>
      </c>
      <c r="E115" s="47">
        <v>1</v>
      </c>
      <c r="F115" s="2" t="s">
        <v>98</v>
      </c>
      <c r="G115" s="49">
        <f>VLOOKUP(C:C,yedekparca!A:D,3,0)</f>
        <v>11.136429</v>
      </c>
      <c r="H115" s="49">
        <f t="shared" si="1"/>
        <v>11.136429</v>
      </c>
    </row>
    <row r="116" spans="1:8" outlineLevel="2" x14ac:dyDescent="0.25">
      <c r="A116" s="11" t="s">
        <v>250</v>
      </c>
      <c r="B116" s="11">
        <v>4</v>
      </c>
      <c r="C116" s="11" t="s">
        <v>100</v>
      </c>
      <c r="D116" s="11" t="s">
        <v>16</v>
      </c>
      <c r="E116" s="47">
        <v>17</v>
      </c>
      <c r="F116" s="11" t="s">
        <v>103</v>
      </c>
      <c r="G116" s="49">
        <f>VLOOKUP(C:C,yedekparca!A:D,3,0)</f>
        <v>7.1302325581395358</v>
      </c>
      <c r="H116" s="49">
        <f t="shared" si="1"/>
        <v>121.21395348837211</v>
      </c>
    </row>
    <row r="117" spans="1:8" outlineLevel="2" x14ac:dyDescent="0.25">
      <c r="A117" s="11" t="s">
        <v>250</v>
      </c>
      <c r="B117" s="11">
        <v>5</v>
      </c>
      <c r="C117" s="11" t="s">
        <v>23</v>
      </c>
      <c r="D117" s="11" t="s">
        <v>101</v>
      </c>
      <c r="E117" s="47">
        <v>13</v>
      </c>
      <c r="F117" s="11" t="s">
        <v>103</v>
      </c>
      <c r="G117" s="49">
        <f>VLOOKUP(C:C,yedekparca!A:D,3,0)</f>
        <v>3.6976744186046511</v>
      </c>
      <c r="H117" s="49">
        <f t="shared" si="1"/>
        <v>48.069767441860463</v>
      </c>
    </row>
    <row r="118" spans="1:8" outlineLevel="2" x14ac:dyDescent="0.25">
      <c r="A118" s="11" t="s">
        <v>250</v>
      </c>
      <c r="B118" s="11">
        <v>6</v>
      </c>
      <c r="C118" s="19" t="s">
        <v>1</v>
      </c>
      <c r="D118" s="19" t="s">
        <v>2</v>
      </c>
      <c r="E118" s="47">
        <v>1</v>
      </c>
      <c r="F118" s="2" t="s">
        <v>98</v>
      </c>
      <c r="G118" s="49">
        <f>VLOOKUP(C:C,yedekparca!A:D,3,0)</f>
        <v>58.139534883720927</v>
      </c>
      <c r="H118" s="49">
        <f t="shared" si="1"/>
        <v>58.139534883720927</v>
      </c>
    </row>
    <row r="119" spans="1:8" outlineLevel="1" x14ac:dyDescent="0.25">
      <c r="A119" s="11">
        <f>SUBTOTAL(9,A113:A118)</f>
        <v>0</v>
      </c>
      <c r="B119" s="11"/>
      <c r="C119" s="19"/>
      <c r="D119" s="19"/>
      <c r="E119" s="47"/>
      <c r="F119" s="2"/>
      <c r="G119" s="50" t="s">
        <v>294</v>
      </c>
      <c r="H119" s="49">
        <f>SUBTOTAL(9,H113:H118)</f>
        <v>290.23299265116282</v>
      </c>
    </row>
    <row r="120" spans="1:8" outlineLevel="2" x14ac:dyDescent="0.25">
      <c r="A120" s="11" t="s">
        <v>251</v>
      </c>
      <c r="B120" s="11">
        <v>1</v>
      </c>
      <c r="C120" s="10" t="s">
        <v>99</v>
      </c>
      <c r="D120" s="11" t="s">
        <v>49</v>
      </c>
      <c r="E120" s="47">
        <v>1</v>
      </c>
      <c r="F120" s="2" t="s">
        <v>98</v>
      </c>
      <c r="G120" s="49">
        <f>VLOOKUP(C:C,yedekparca!A:D,3,0)</f>
        <v>8.0779589999999999</v>
      </c>
      <c r="H120" s="49">
        <f t="shared" si="1"/>
        <v>8.0779589999999999</v>
      </c>
    </row>
    <row r="121" spans="1:8" outlineLevel="2" x14ac:dyDescent="0.25">
      <c r="A121" s="11" t="s">
        <v>251</v>
      </c>
      <c r="B121" s="11">
        <v>2</v>
      </c>
      <c r="C121" s="11" t="s">
        <v>104</v>
      </c>
      <c r="D121" s="11" t="s">
        <v>27</v>
      </c>
      <c r="E121" s="47">
        <v>9.1</v>
      </c>
      <c r="F121" s="11" t="s">
        <v>103</v>
      </c>
      <c r="G121" s="49">
        <f>VLOOKUP(C:C,yedekparca!A:D,3,0)</f>
        <v>4.7906976744186043</v>
      </c>
      <c r="H121" s="49">
        <f t="shared" si="1"/>
        <v>43.595348837209301</v>
      </c>
    </row>
    <row r="122" spans="1:8" outlineLevel="2" x14ac:dyDescent="0.25">
      <c r="A122" s="11" t="s">
        <v>251</v>
      </c>
      <c r="B122" s="11">
        <v>3</v>
      </c>
      <c r="C122" s="11" t="s">
        <v>91</v>
      </c>
      <c r="D122" s="11" t="s">
        <v>47</v>
      </c>
      <c r="E122" s="47">
        <v>1</v>
      </c>
      <c r="F122" s="2" t="s">
        <v>98</v>
      </c>
      <c r="G122" s="49">
        <f>VLOOKUP(C:C,yedekparca!A:D,3,0)</f>
        <v>42.296841000000001</v>
      </c>
      <c r="H122" s="49">
        <f t="shared" si="1"/>
        <v>42.296841000000001</v>
      </c>
    </row>
    <row r="123" spans="1:8" outlineLevel="2" x14ac:dyDescent="0.25">
      <c r="A123" s="11" t="s">
        <v>251</v>
      </c>
      <c r="B123" s="11">
        <v>4</v>
      </c>
      <c r="C123" s="17" t="s">
        <v>57</v>
      </c>
      <c r="D123" s="11" t="s">
        <v>62</v>
      </c>
      <c r="E123" s="47">
        <v>1</v>
      </c>
      <c r="F123" s="2" t="s">
        <v>98</v>
      </c>
      <c r="G123" s="49">
        <f>VLOOKUP(C:C,yedekparca!A:D,3,0)</f>
        <v>27.274355999999997</v>
      </c>
      <c r="H123" s="49">
        <f t="shared" si="1"/>
        <v>27.274355999999997</v>
      </c>
    </row>
    <row r="124" spans="1:8" outlineLevel="2" x14ac:dyDescent="0.25">
      <c r="A124" s="11" t="s">
        <v>251</v>
      </c>
      <c r="B124" s="11">
        <v>5</v>
      </c>
      <c r="C124" s="17" t="s">
        <v>31</v>
      </c>
      <c r="D124" s="11" t="s">
        <v>32</v>
      </c>
      <c r="E124" s="47">
        <v>1</v>
      </c>
      <c r="F124" s="2" t="s">
        <v>98</v>
      </c>
      <c r="G124" s="49">
        <f>VLOOKUP(C:C,yedekparca!A:D,3,0)</f>
        <v>5.8650659999999997</v>
      </c>
      <c r="H124" s="49">
        <f t="shared" si="1"/>
        <v>5.8650659999999997</v>
      </c>
    </row>
    <row r="125" spans="1:8" outlineLevel="2" x14ac:dyDescent="0.25">
      <c r="A125" s="11" t="s">
        <v>251</v>
      </c>
      <c r="B125" s="11">
        <v>6</v>
      </c>
      <c r="C125" s="10" t="s">
        <v>63</v>
      </c>
      <c r="D125" s="11" t="s">
        <v>64</v>
      </c>
      <c r="E125" s="47">
        <v>1</v>
      </c>
      <c r="F125" s="2" t="s">
        <v>98</v>
      </c>
      <c r="G125" s="49">
        <f>VLOOKUP(C:C,yedekparca!A:D,3,0)</f>
        <v>3.3823079999999996</v>
      </c>
      <c r="H125" s="49">
        <f t="shared" si="1"/>
        <v>3.3823079999999996</v>
      </c>
    </row>
    <row r="126" spans="1:8" outlineLevel="2" x14ac:dyDescent="0.25">
      <c r="A126" s="11" t="s">
        <v>251</v>
      </c>
      <c r="B126" s="11">
        <v>7</v>
      </c>
      <c r="C126" s="10" t="s">
        <v>39</v>
      </c>
      <c r="D126" s="11" t="s">
        <v>34</v>
      </c>
      <c r="E126" s="47">
        <v>1</v>
      </c>
      <c r="F126" s="2" t="s">
        <v>98</v>
      </c>
      <c r="G126" s="49">
        <f>VLOOKUP(C:C,yedekparca!A:D,3,0)</f>
        <v>31.088448</v>
      </c>
      <c r="H126" s="49">
        <f t="shared" si="1"/>
        <v>31.088448</v>
      </c>
    </row>
    <row r="127" spans="1:8" outlineLevel="2" x14ac:dyDescent="0.25">
      <c r="A127" s="11" t="s">
        <v>251</v>
      </c>
      <c r="B127" s="11">
        <v>8</v>
      </c>
      <c r="C127" s="10" t="s">
        <v>38</v>
      </c>
      <c r="D127" s="11" t="s">
        <v>37</v>
      </c>
      <c r="E127" s="47">
        <v>1</v>
      </c>
      <c r="F127" s="2" t="s">
        <v>98</v>
      </c>
      <c r="G127" s="49">
        <f>VLOOKUP(C:C,yedekparca!A:D,3,0)</f>
        <v>20.221883999999999</v>
      </c>
      <c r="H127" s="49">
        <f t="shared" si="1"/>
        <v>20.221883999999999</v>
      </c>
    </row>
    <row r="128" spans="1:8" outlineLevel="2" x14ac:dyDescent="0.25">
      <c r="A128" s="11" t="s">
        <v>251</v>
      </c>
      <c r="B128" s="11">
        <v>9</v>
      </c>
      <c r="C128" s="19" t="s">
        <v>3</v>
      </c>
      <c r="D128" s="19" t="s">
        <v>4</v>
      </c>
      <c r="E128" s="47">
        <v>1</v>
      </c>
      <c r="F128" s="2" t="s">
        <v>98</v>
      </c>
      <c r="G128" s="49">
        <f>VLOOKUP(C:C,yedekparca!A:D,3,0)</f>
        <v>93.023255813953483</v>
      </c>
      <c r="H128" s="49">
        <f t="shared" si="1"/>
        <v>93.023255813953483</v>
      </c>
    </row>
    <row r="129" spans="1:8" outlineLevel="1" x14ac:dyDescent="0.25">
      <c r="A129" s="11">
        <f>SUBTOTAL(9,A120:A128)</f>
        <v>0</v>
      </c>
      <c r="B129" s="11"/>
      <c r="C129" s="19"/>
      <c r="D129" s="19"/>
      <c r="E129" s="47"/>
      <c r="F129" s="2"/>
      <c r="G129" s="50" t="s">
        <v>295</v>
      </c>
      <c r="H129" s="49">
        <f>SUBTOTAL(9,H120:H128)</f>
        <v>274.82546665116274</v>
      </c>
    </row>
    <row r="130" spans="1:8" outlineLevel="2" x14ac:dyDescent="0.25">
      <c r="A130" s="11" t="s">
        <v>252</v>
      </c>
      <c r="B130" s="11">
        <v>1</v>
      </c>
      <c r="C130" s="10" t="s">
        <v>99</v>
      </c>
      <c r="D130" s="11" t="s">
        <v>49</v>
      </c>
      <c r="E130" s="47">
        <v>1</v>
      </c>
      <c r="F130" s="2" t="s">
        <v>98</v>
      </c>
      <c r="G130" s="49">
        <f>VLOOKUP(C:C,yedekparca!A:D,3,0)</f>
        <v>8.0779589999999999</v>
      </c>
      <c r="H130" s="49">
        <f t="shared" si="1"/>
        <v>8.0779589999999999</v>
      </c>
    </row>
    <row r="131" spans="1:8" outlineLevel="2" x14ac:dyDescent="0.25">
      <c r="A131" s="11" t="s">
        <v>252</v>
      </c>
      <c r="B131" s="11">
        <v>2</v>
      </c>
      <c r="C131" s="11" t="s">
        <v>104</v>
      </c>
      <c r="D131" s="11" t="s">
        <v>27</v>
      </c>
      <c r="E131" s="47">
        <v>9.1</v>
      </c>
      <c r="F131" s="11" t="s">
        <v>103</v>
      </c>
      <c r="G131" s="49">
        <f>VLOOKUP(C:C,yedekparca!A:D,3,0)</f>
        <v>4.7906976744186043</v>
      </c>
      <c r="H131" s="49">
        <f t="shared" si="1"/>
        <v>43.595348837209301</v>
      </c>
    </row>
    <row r="132" spans="1:8" outlineLevel="2" x14ac:dyDescent="0.25">
      <c r="A132" s="11" t="s">
        <v>252</v>
      </c>
      <c r="B132" s="11">
        <v>3</v>
      </c>
      <c r="C132" s="10" t="s">
        <v>66</v>
      </c>
      <c r="D132" s="11" t="s">
        <v>64</v>
      </c>
      <c r="E132" s="47">
        <v>1</v>
      </c>
      <c r="F132" s="2" t="s">
        <v>98</v>
      </c>
      <c r="G132" s="49">
        <f>VLOOKUP(C:C,yedekparca!A:D,3,0)</f>
        <v>3.3823079999999996</v>
      </c>
      <c r="H132" s="49">
        <f t="shared" si="1"/>
        <v>3.3823079999999996</v>
      </c>
    </row>
    <row r="133" spans="1:8" outlineLevel="2" x14ac:dyDescent="0.25">
      <c r="A133" s="11" t="s">
        <v>252</v>
      </c>
      <c r="B133" s="11">
        <v>4</v>
      </c>
      <c r="C133" s="17" t="s">
        <v>57</v>
      </c>
      <c r="D133" s="11" t="s">
        <v>62</v>
      </c>
      <c r="E133" s="47">
        <v>1</v>
      </c>
      <c r="F133" s="2" t="s">
        <v>98</v>
      </c>
      <c r="G133" s="49">
        <f>VLOOKUP(C:C,yedekparca!A:D,3,0)</f>
        <v>27.274355999999997</v>
      </c>
      <c r="H133" s="49">
        <f t="shared" si="1"/>
        <v>27.274355999999997</v>
      </c>
    </row>
    <row r="134" spans="1:8" outlineLevel="2" x14ac:dyDescent="0.25">
      <c r="A134" s="11" t="s">
        <v>252</v>
      </c>
      <c r="B134" s="11">
        <v>5</v>
      </c>
      <c r="C134" s="17" t="s">
        <v>91</v>
      </c>
      <c r="D134" s="11" t="s">
        <v>46</v>
      </c>
      <c r="E134" s="47">
        <v>1</v>
      </c>
      <c r="F134" s="2" t="s">
        <v>98</v>
      </c>
      <c r="G134" s="49">
        <f>VLOOKUP(C:C,yedekparca!A:D,3,0)</f>
        <v>42.296841000000001</v>
      </c>
      <c r="H134" s="49">
        <f t="shared" si="1"/>
        <v>42.296841000000001</v>
      </c>
    </row>
    <row r="135" spans="1:8" outlineLevel="2" x14ac:dyDescent="0.25">
      <c r="A135" s="11" t="s">
        <v>252</v>
      </c>
      <c r="B135" s="11">
        <v>6</v>
      </c>
      <c r="C135" s="17" t="s">
        <v>31</v>
      </c>
      <c r="D135" s="11" t="s">
        <v>32</v>
      </c>
      <c r="E135" s="47">
        <v>1</v>
      </c>
      <c r="F135" s="2" t="s">
        <v>98</v>
      </c>
      <c r="G135" s="49">
        <f>VLOOKUP(C:C,yedekparca!A:D,3,0)</f>
        <v>5.8650659999999997</v>
      </c>
      <c r="H135" s="49">
        <f t="shared" si="1"/>
        <v>5.8650659999999997</v>
      </c>
    </row>
    <row r="136" spans="1:8" outlineLevel="2" x14ac:dyDescent="0.25">
      <c r="A136" s="11" t="s">
        <v>252</v>
      </c>
      <c r="B136" s="11">
        <v>7</v>
      </c>
      <c r="C136" s="10" t="s">
        <v>39</v>
      </c>
      <c r="D136" s="11" t="s">
        <v>34</v>
      </c>
      <c r="E136" s="47">
        <v>1</v>
      </c>
      <c r="F136" s="2" t="s">
        <v>98</v>
      </c>
      <c r="G136" s="49">
        <f>VLOOKUP(C:C,yedekparca!A:D,3,0)</f>
        <v>31.088448</v>
      </c>
      <c r="H136" s="49">
        <f t="shared" si="1"/>
        <v>31.088448</v>
      </c>
    </row>
    <row r="137" spans="1:8" outlineLevel="2" x14ac:dyDescent="0.25">
      <c r="A137" s="11" t="s">
        <v>252</v>
      </c>
      <c r="B137" s="11">
        <v>8</v>
      </c>
      <c r="C137" s="10" t="s">
        <v>38</v>
      </c>
      <c r="D137" s="11" t="s">
        <v>37</v>
      </c>
      <c r="E137" s="47">
        <v>1</v>
      </c>
      <c r="F137" s="2" t="s">
        <v>98</v>
      </c>
      <c r="G137" s="49">
        <f>VLOOKUP(C:C,yedekparca!A:D,3,0)</f>
        <v>20.221883999999999</v>
      </c>
      <c r="H137" s="49">
        <f t="shared" si="1"/>
        <v>20.221883999999999</v>
      </c>
    </row>
    <row r="138" spans="1:8" outlineLevel="2" x14ac:dyDescent="0.25">
      <c r="A138" s="11" t="s">
        <v>252</v>
      </c>
      <c r="B138" s="11">
        <v>9</v>
      </c>
      <c r="C138" s="10" t="s">
        <v>85</v>
      </c>
      <c r="D138" s="11" t="s">
        <v>86</v>
      </c>
      <c r="E138" s="47">
        <v>1</v>
      </c>
      <c r="F138" s="2" t="s">
        <v>98</v>
      </c>
      <c r="G138" s="49">
        <f>VLOOKUP(C:C,yedekparca!A:D,3,0)</f>
        <v>11.136429</v>
      </c>
      <c r="H138" s="49">
        <f t="shared" si="1"/>
        <v>11.136429</v>
      </c>
    </row>
    <row r="139" spans="1:8" outlineLevel="2" x14ac:dyDescent="0.25">
      <c r="A139" s="11" t="s">
        <v>252</v>
      </c>
      <c r="B139" s="11">
        <v>10</v>
      </c>
      <c r="C139" s="11" t="s">
        <v>100</v>
      </c>
      <c r="D139" s="11" t="s">
        <v>16</v>
      </c>
      <c r="E139" s="47">
        <v>17</v>
      </c>
      <c r="F139" s="11" t="s">
        <v>103</v>
      </c>
      <c r="G139" s="49">
        <f>VLOOKUP(C:C,yedekparca!A:D,3,0)</f>
        <v>7.1302325581395358</v>
      </c>
      <c r="H139" s="49">
        <f t="shared" si="1"/>
        <v>121.21395348837211</v>
      </c>
    </row>
    <row r="140" spans="1:8" outlineLevel="2" x14ac:dyDescent="0.25">
      <c r="A140" s="11" t="s">
        <v>252</v>
      </c>
      <c r="B140" s="11">
        <v>11</v>
      </c>
      <c r="C140" s="11" t="s">
        <v>23</v>
      </c>
      <c r="D140" s="11" t="s">
        <v>101</v>
      </c>
      <c r="E140" s="47">
        <v>13</v>
      </c>
      <c r="F140" s="11" t="s">
        <v>103</v>
      </c>
      <c r="G140" s="49">
        <f>VLOOKUP(C:C,yedekparca!A:D,3,0)</f>
        <v>3.6976744186046511</v>
      </c>
      <c r="H140" s="49">
        <f t="shared" si="1"/>
        <v>48.069767441860463</v>
      </c>
    </row>
    <row r="141" spans="1:8" outlineLevel="2" x14ac:dyDescent="0.25">
      <c r="A141" s="11" t="s">
        <v>252</v>
      </c>
      <c r="B141" s="11">
        <v>12</v>
      </c>
      <c r="C141" s="11" t="s">
        <v>17</v>
      </c>
      <c r="D141" s="11" t="s">
        <v>18</v>
      </c>
      <c r="E141" s="47">
        <v>0.5</v>
      </c>
      <c r="F141" s="11" t="s">
        <v>103</v>
      </c>
      <c r="G141" s="49">
        <f>VLOOKUP(C:C,yedekparca!A:D,3,0)</f>
        <v>2.8069767441860467</v>
      </c>
      <c r="H141" s="49">
        <f t="shared" si="1"/>
        <v>1.4034883720930234</v>
      </c>
    </row>
    <row r="142" spans="1:8" outlineLevel="2" x14ac:dyDescent="0.25">
      <c r="A142" s="11" t="s">
        <v>252</v>
      </c>
      <c r="B142" s="11">
        <v>13</v>
      </c>
      <c r="C142" s="10" t="s">
        <v>79</v>
      </c>
      <c r="D142" s="11" t="s">
        <v>70</v>
      </c>
      <c r="E142" s="47">
        <v>1</v>
      </c>
      <c r="F142" s="2" t="s">
        <v>98</v>
      </c>
      <c r="G142" s="49">
        <f>VLOOKUP(C:C,yedekparca!A:D,3,0)</f>
        <v>87.544205999999988</v>
      </c>
      <c r="H142" s="49">
        <f t="shared" si="1"/>
        <v>87.544205999999988</v>
      </c>
    </row>
    <row r="143" spans="1:8" outlineLevel="2" x14ac:dyDescent="0.25">
      <c r="A143" s="11" t="s">
        <v>252</v>
      </c>
      <c r="B143" s="11">
        <v>14</v>
      </c>
      <c r="C143" s="20" t="s">
        <v>102</v>
      </c>
      <c r="D143" s="11" t="s">
        <v>68</v>
      </c>
      <c r="E143" s="47">
        <v>1</v>
      </c>
      <c r="F143" s="2" t="s">
        <v>98</v>
      </c>
      <c r="G143" s="49">
        <f>VLOOKUP(C:C,yedekparca!A:D,3,0)</f>
        <v>22.524731999999997</v>
      </c>
      <c r="H143" s="49">
        <f t="shared" si="1"/>
        <v>22.524731999999997</v>
      </c>
    </row>
    <row r="144" spans="1:8" outlineLevel="2" x14ac:dyDescent="0.25">
      <c r="A144" s="11" t="s">
        <v>252</v>
      </c>
      <c r="B144" s="11">
        <v>15</v>
      </c>
      <c r="C144" s="10" t="s">
        <v>114</v>
      </c>
      <c r="D144" s="11" t="s">
        <v>30</v>
      </c>
      <c r="E144" s="47">
        <v>1</v>
      </c>
      <c r="F144" s="2" t="s">
        <v>98</v>
      </c>
      <c r="G144" s="49">
        <f>VLOOKUP(C:C,yedekparca!A:D,3,0)</f>
        <v>105.805071</v>
      </c>
      <c r="H144" s="49">
        <f t="shared" ref="H144:H213" si="2">E144*G144</f>
        <v>105.805071</v>
      </c>
    </row>
    <row r="145" spans="1:8" outlineLevel="2" x14ac:dyDescent="0.25">
      <c r="A145" s="11" t="s">
        <v>252</v>
      </c>
      <c r="B145" s="11">
        <v>16</v>
      </c>
      <c r="C145" s="19" t="s">
        <v>5</v>
      </c>
      <c r="D145" s="19" t="s">
        <v>6</v>
      </c>
      <c r="E145" s="47">
        <v>1</v>
      </c>
      <c r="F145" s="2" t="s">
        <v>98</v>
      </c>
      <c r="G145" s="49">
        <f>VLOOKUP(C:C,yedekparca!A:D,3,0)</f>
        <v>139.53488372093022</v>
      </c>
      <c r="H145" s="49">
        <f t="shared" si="2"/>
        <v>139.53488372093022</v>
      </c>
    </row>
    <row r="146" spans="1:8" outlineLevel="1" x14ac:dyDescent="0.25">
      <c r="A146" s="11">
        <f>SUBTOTAL(9,A130:A145)</f>
        <v>0</v>
      </c>
      <c r="B146" s="11"/>
      <c r="C146" s="19"/>
      <c r="D146" s="19"/>
      <c r="E146" s="47"/>
      <c r="F146" s="2"/>
      <c r="G146" s="50" t="s">
        <v>296</v>
      </c>
      <c r="H146" s="49">
        <f>SUBTOTAL(9,H130:H145)</f>
        <v>719.03474186046503</v>
      </c>
    </row>
    <row r="147" spans="1:8" outlineLevel="2" x14ac:dyDescent="0.25">
      <c r="A147" s="11" t="s">
        <v>253</v>
      </c>
      <c r="B147" s="11">
        <v>1</v>
      </c>
      <c r="C147" s="10" t="s">
        <v>99</v>
      </c>
      <c r="D147" s="11" t="s">
        <v>49</v>
      </c>
      <c r="E147" s="47">
        <v>1</v>
      </c>
      <c r="F147" s="2" t="s">
        <v>98</v>
      </c>
      <c r="G147" s="49">
        <f>VLOOKUP(C:C,yedekparca!A:D,3,0)</f>
        <v>8.0779589999999999</v>
      </c>
      <c r="H147" s="49">
        <f t="shared" si="2"/>
        <v>8.0779589999999999</v>
      </c>
    </row>
    <row r="148" spans="1:8" outlineLevel="2" x14ac:dyDescent="0.25">
      <c r="A148" s="11" t="s">
        <v>253</v>
      </c>
      <c r="B148" s="11">
        <v>2</v>
      </c>
      <c r="C148" s="11" t="s">
        <v>104</v>
      </c>
      <c r="D148" s="11" t="s">
        <v>27</v>
      </c>
      <c r="E148" s="47">
        <v>9.1</v>
      </c>
      <c r="F148" s="11" t="s">
        <v>103</v>
      </c>
      <c r="G148" s="49">
        <f>VLOOKUP(C:C,yedekparca!A:D,3,0)</f>
        <v>4.7906976744186043</v>
      </c>
      <c r="H148" s="49">
        <f t="shared" si="2"/>
        <v>43.595348837209301</v>
      </c>
    </row>
    <row r="149" spans="1:8" outlineLevel="2" x14ac:dyDescent="0.25">
      <c r="A149" s="11" t="s">
        <v>253</v>
      </c>
      <c r="B149" s="11">
        <v>3</v>
      </c>
      <c r="C149" s="10" t="s">
        <v>66</v>
      </c>
      <c r="D149" s="11" t="s">
        <v>64</v>
      </c>
      <c r="E149" s="47">
        <v>1</v>
      </c>
      <c r="F149" s="2" t="s">
        <v>98</v>
      </c>
      <c r="G149" s="49">
        <f>VLOOKUP(C:C,yedekparca!A:D,3,0)</f>
        <v>3.3823079999999996</v>
      </c>
      <c r="H149" s="49">
        <f t="shared" si="2"/>
        <v>3.3823079999999996</v>
      </c>
    </row>
    <row r="150" spans="1:8" outlineLevel="2" x14ac:dyDescent="0.25">
      <c r="A150" s="11" t="s">
        <v>253</v>
      </c>
      <c r="B150" s="11">
        <v>4</v>
      </c>
      <c r="C150" s="17" t="s">
        <v>57</v>
      </c>
      <c r="D150" s="11" t="s">
        <v>62</v>
      </c>
      <c r="E150" s="47">
        <v>1</v>
      </c>
      <c r="F150" s="2" t="s">
        <v>98</v>
      </c>
      <c r="G150" s="49">
        <f>VLOOKUP(C:C,yedekparca!A:D,3,0)</f>
        <v>27.274355999999997</v>
      </c>
      <c r="H150" s="49">
        <f t="shared" si="2"/>
        <v>27.274355999999997</v>
      </c>
    </row>
    <row r="151" spans="1:8" outlineLevel="2" x14ac:dyDescent="0.25">
      <c r="A151" s="11" t="s">
        <v>253</v>
      </c>
      <c r="B151" s="11">
        <v>5</v>
      </c>
      <c r="C151" s="17" t="s">
        <v>91</v>
      </c>
      <c r="D151" s="11" t="s">
        <v>46</v>
      </c>
      <c r="E151" s="47">
        <v>1</v>
      </c>
      <c r="F151" s="2" t="s">
        <v>98</v>
      </c>
      <c r="G151" s="49">
        <f>VLOOKUP(C:C,yedekparca!A:D,3,0)</f>
        <v>42.296841000000001</v>
      </c>
      <c r="H151" s="49">
        <f t="shared" si="2"/>
        <v>42.296841000000001</v>
      </c>
    </row>
    <row r="152" spans="1:8" outlineLevel="2" x14ac:dyDescent="0.25">
      <c r="A152" s="11" t="s">
        <v>253</v>
      </c>
      <c r="B152" s="11">
        <v>6</v>
      </c>
      <c r="C152" s="17" t="s">
        <v>31</v>
      </c>
      <c r="D152" s="11" t="s">
        <v>32</v>
      </c>
      <c r="E152" s="47">
        <v>1</v>
      </c>
      <c r="F152" s="2" t="s">
        <v>98</v>
      </c>
      <c r="G152" s="49">
        <f>VLOOKUP(C:C,yedekparca!A:D,3,0)</f>
        <v>5.8650659999999997</v>
      </c>
      <c r="H152" s="49">
        <f t="shared" si="2"/>
        <v>5.8650659999999997</v>
      </c>
    </row>
    <row r="153" spans="1:8" outlineLevel="2" x14ac:dyDescent="0.25">
      <c r="A153" s="11" t="s">
        <v>253</v>
      </c>
      <c r="B153" s="11">
        <v>7</v>
      </c>
      <c r="C153" s="10" t="s">
        <v>39</v>
      </c>
      <c r="D153" s="11" t="s">
        <v>34</v>
      </c>
      <c r="E153" s="47">
        <v>1</v>
      </c>
      <c r="F153" s="2" t="s">
        <v>98</v>
      </c>
      <c r="G153" s="49">
        <f>VLOOKUP(C:C,yedekparca!A:D,3,0)</f>
        <v>31.088448</v>
      </c>
      <c r="H153" s="49">
        <f t="shared" si="2"/>
        <v>31.088448</v>
      </c>
    </row>
    <row r="154" spans="1:8" outlineLevel="2" x14ac:dyDescent="0.25">
      <c r="A154" s="11" t="s">
        <v>253</v>
      </c>
      <c r="B154" s="11">
        <v>8</v>
      </c>
      <c r="C154" s="10" t="s">
        <v>38</v>
      </c>
      <c r="D154" s="11" t="s">
        <v>37</v>
      </c>
      <c r="E154" s="47">
        <v>1</v>
      </c>
      <c r="F154" s="2" t="s">
        <v>98</v>
      </c>
      <c r="G154" s="49">
        <f>VLOOKUP(C:C,yedekparca!A:D,3,0)</f>
        <v>20.221883999999999</v>
      </c>
      <c r="H154" s="49">
        <f t="shared" si="2"/>
        <v>20.221883999999999</v>
      </c>
    </row>
    <row r="155" spans="1:8" outlineLevel="2" x14ac:dyDescent="0.25">
      <c r="A155" s="11" t="s">
        <v>253</v>
      </c>
      <c r="B155" s="11">
        <v>9</v>
      </c>
      <c r="C155" s="10" t="s">
        <v>85</v>
      </c>
      <c r="D155" s="11" t="s">
        <v>86</v>
      </c>
      <c r="E155" s="47">
        <v>1</v>
      </c>
      <c r="F155" s="2" t="s">
        <v>98</v>
      </c>
      <c r="G155" s="49">
        <f>VLOOKUP(C:C,yedekparca!A:D,3,0)</f>
        <v>11.136429</v>
      </c>
      <c r="H155" s="49">
        <f t="shared" si="2"/>
        <v>11.136429</v>
      </c>
    </row>
    <row r="156" spans="1:8" outlineLevel="2" x14ac:dyDescent="0.25">
      <c r="A156" s="11" t="s">
        <v>253</v>
      </c>
      <c r="B156" s="11">
        <v>10</v>
      </c>
      <c r="C156" s="11" t="s">
        <v>100</v>
      </c>
      <c r="D156" s="11" t="s">
        <v>16</v>
      </c>
      <c r="E156" s="47">
        <v>17</v>
      </c>
      <c r="F156" s="11" t="s">
        <v>103</v>
      </c>
      <c r="G156" s="49">
        <f>VLOOKUP(C:C,yedekparca!A:D,3,0)</f>
        <v>7.1302325581395358</v>
      </c>
      <c r="H156" s="49">
        <f t="shared" si="2"/>
        <v>121.21395348837211</v>
      </c>
    </row>
    <row r="157" spans="1:8" outlineLevel="2" x14ac:dyDescent="0.25">
      <c r="A157" s="11" t="s">
        <v>253</v>
      </c>
      <c r="B157" s="11">
        <v>11</v>
      </c>
      <c r="C157" s="11" t="s">
        <v>23</v>
      </c>
      <c r="D157" s="11" t="s">
        <v>101</v>
      </c>
      <c r="E157" s="47">
        <v>13</v>
      </c>
      <c r="F157" s="11" t="s">
        <v>103</v>
      </c>
      <c r="G157" s="49">
        <f>VLOOKUP(C:C,yedekparca!A:D,3,0)</f>
        <v>3.6976744186046511</v>
      </c>
      <c r="H157" s="49">
        <f t="shared" si="2"/>
        <v>48.069767441860463</v>
      </c>
    </row>
    <row r="158" spans="1:8" outlineLevel="2" x14ac:dyDescent="0.25">
      <c r="A158" s="11" t="s">
        <v>253</v>
      </c>
      <c r="B158" s="11">
        <v>12</v>
      </c>
      <c r="C158" s="11" t="s">
        <v>17</v>
      </c>
      <c r="D158" s="11" t="s">
        <v>18</v>
      </c>
      <c r="E158" s="47">
        <v>0.5</v>
      </c>
      <c r="F158" s="11" t="s">
        <v>103</v>
      </c>
      <c r="G158" s="49">
        <f>VLOOKUP(C:C,yedekparca!A:D,3,0)</f>
        <v>2.8069767441860467</v>
      </c>
      <c r="H158" s="49">
        <f t="shared" si="2"/>
        <v>1.4034883720930234</v>
      </c>
    </row>
    <row r="159" spans="1:8" outlineLevel="2" x14ac:dyDescent="0.25">
      <c r="A159" s="11" t="s">
        <v>253</v>
      </c>
      <c r="B159" s="11">
        <v>13</v>
      </c>
      <c r="C159" s="10" t="s">
        <v>79</v>
      </c>
      <c r="D159" s="11" t="s">
        <v>70</v>
      </c>
      <c r="E159" s="47">
        <v>1</v>
      </c>
      <c r="F159" s="2" t="s">
        <v>98</v>
      </c>
      <c r="G159" s="49">
        <f>VLOOKUP(C:C,yedekparca!A:D,3,0)</f>
        <v>87.544205999999988</v>
      </c>
      <c r="H159" s="49">
        <f t="shared" si="2"/>
        <v>87.544205999999988</v>
      </c>
    </row>
    <row r="160" spans="1:8" outlineLevel="2" x14ac:dyDescent="0.25">
      <c r="A160" s="11" t="s">
        <v>253</v>
      </c>
      <c r="B160" s="11">
        <v>14</v>
      </c>
      <c r="C160" s="20" t="s">
        <v>102</v>
      </c>
      <c r="D160" s="11" t="s">
        <v>68</v>
      </c>
      <c r="E160" s="47">
        <v>1</v>
      </c>
      <c r="F160" s="2" t="s">
        <v>98</v>
      </c>
      <c r="G160" s="49">
        <f>VLOOKUP(C:C,yedekparca!A:D,3,0)</f>
        <v>22.524731999999997</v>
      </c>
      <c r="H160" s="49">
        <f t="shared" si="2"/>
        <v>22.524731999999997</v>
      </c>
    </row>
    <row r="161" spans="1:8" outlineLevel="2" x14ac:dyDescent="0.25">
      <c r="A161" s="11" t="s">
        <v>253</v>
      </c>
      <c r="B161" s="11">
        <v>15</v>
      </c>
      <c r="C161" s="10" t="s">
        <v>114</v>
      </c>
      <c r="D161" s="11" t="s">
        <v>30</v>
      </c>
      <c r="E161" s="47">
        <v>1</v>
      </c>
      <c r="F161" s="2" t="s">
        <v>98</v>
      </c>
      <c r="G161" s="49">
        <f>VLOOKUP(C:C,yedekparca!A:D,3,0)</f>
        <v>105.805071</v>
      </c>
      <c r="H161" s="49">
        <f t="shared" si="2"/>
        <v>105.805071</v>
      </c>
    </row>
    <row r="162" spans="1:8" outlineLevel="2" x14ac:dyDescent="0.25">
      <c r="A162" s="11" t="s">
        <v>253</v>
      </c>
      <c r="B162" s="11">
        <v>16</v>
      </c>
      <c r="C162" s="11" t="s">
        <v>19</v>
      </c>
      <c r="D162" s="11" t="s">
        <v>20</v>
      </c>
      <c r="E162" s="47">
        <v>76</v>
      </c>
      <c r="F162" s="11" t="s">
        <v>103</v>
      </c>
      <c r="G162" s="49">
        <f>VLOOKUP(C:C,yedekparca!A:D,3,0)</f>
        <v>2.6911627906976743</v>
      </c>
      <c r="H162" s="49">
        <f t="shared" si="2"/>
        <v>204.52837209302325</v>
      </c>
    </row>
    <row r="163" spans="1:8" outlineLevel="2" x14ac:dyDescent="0.25">
      <c r="A163" s="11" t="s">
        <v>253</v>
      </c>
      <c r="B163" s="11">
        <v>17</v>
      </c>
      <c r="C163" s="19" t="s">
        <v>5</v>
      </c>
      <c r="D163" s="19" t="s">
        <v>6</v>
      </c>
      <c r="E163" s="47">
        <v>1</v>
      </c>
      <c r="F163" s="2" t="s">
        <v>98</v>
      </c>
      <c r="G163" s="49">
        <f>VLOOKUP(C:C,yedekparca!A:D,3,0)</f>
        <v>139.53488372093022</v>
      </c>
      <c r="H163" s="49">
        <f t="shared" si="2"/>
        <v>139.53488372093022</v>
      </c>
    </row>
    <row r="164" spans="1:8" outlineLevel="1" x14ac:dyDescent="0.25">
      <c r="A164" s="11">
        <f>SUBTOTAL(9,A147:A163)</f>
        <v>0</v>
      </c>
      <c r="B164" s="11"/>
      <c r="C164" s="19"/>
      <c r="D164" s="19"/>
      <c r="E164" s="47"/>
      <c r="F164" s="2"/>
      <c r="G164" s="50" t="s">
        <v>297</v>
      </c>
      <c r="H164" s="49">
        <f>SUBTOTAL(9,H147:H163)</f>
        <v>923.56311395348825</v>
      </c>
    </row>
    <row r="165" spans="1:8" outlineLevel="2" x14ac:dyDescent="0.25">
      <c r="A165" s="11" t="s">
        <v>254</v>
      </c>
      <c r="B165" s="11">
        <v>1</v>
      </c>
      <c r="C165" s="10" t="s">
        <v>99</v>
      </c>
      <c r="D165" s="11" t="s">
        <v>49</v>
      </c>
      <c r="E165" s="47">
        <v>1</v>
      </c>
      <c r="F165" s="21" t="s">
        <v>98</v>
      </c>
      <c r="G165" s="49">
        <f>VLOOKUP(C:C,yedekparca!A:D,3,0)</f>
        <v>8.0779589999999999</v>
      </c>
      <c r="H165" s="49">
        <f t="shared" si="2"/>
        <v>8.0779589999999999</v>
      </c>
    </row>
    <row r="166" spans="1:8" outlineLevel="2" x14ac:dyDescent="0.25">
      <c r="A166" s="11" t="s">
        <v>254</v>
      </c>
      <c r="B166" s="11">
        <v>2</v>
      </c>
      <c r="C166" s="11" t="s">
        <v>104</v>
      </c>
      <c r="D166" s="11" t="s">
        <v>27</v>
      </c>
      <c r="E166" s="47">
        <v>9.1</v>
      </c>
      <c r="F166" s="11" t="s">
        <v>103</v>
      </c>
      <c r="G166" s="49">
        <f>VLOOKUP(C:C,yedekparca!A:D,3,0)</f>
        <v>4.7906976744186043</v>
      </c>
      <c r="H166" s="49">
        <f t="shared" si="2"/>
        <v>43.595348837209301</v>
      </c>
    </row>
    <row r="167" spans="1:8" outlineLevel="2" x14ac:dyDescent="0.25">
      <c r="A167" s="11" t="s">
        <v>254</v>
      </c>
      <c r="B167" s="11">
        <v>3</v>
      </c>
      <c r="C167" s="10" t="s">
        <v>97</v>
      </c>
      <c r="D167" s="11" t="s">
        <v>86</v>
      </c>
      <c r="E167" s="47">
        <v>1</v>
      </c>
      <c r="F167" s="21" t="s">
        <v>98</v>
      </c>
      <c r="G167" s="49">
        <f>VLOOKUP(C:C,yedekparca!A:D,3,0)</f>
        <v>42.62</v>
      </c>
      <c r="H167" s="49">
        <f t="shared" si="2"/>
        <v>42.62</v>
      </c>
    </row>
    <row r="168" spans="1:8" outlineLevel="2" x14ac:dyDescent="0.25">
      <c r="A168" s="11" t="s">
        <v>254</v>
      </c>
      <c r="B168" s="11">
        <v>4</v>
      </c>
      <c r="C168" s="11" t="s">
        <v>28</v>
      </c>
      <c r="D168" s="11" t="s">
        <v>16</v>
      </c>
      <c r="E168" s="47">
        <v>18</v>
      </c>
      <c r="F168" s="11" t="s">
        <v>103</v>
      </c>
      <c r="G168" s="49">
        <f>VLOOKUP(C:C,yedekparca!A:D,3,0)</f>
        <v>3.2558139534883721</v>
      </c>
      <c r="H168" s="49">
        <f t="shared" si="2"/>
        <v>58.604651162790695</v>
      </c>
    </row>
    <row r="169" spans="1:8" outlineLevel="2" x14ac:dyDescent="0.25">
      <c r="A169" s="11" t="s">
        <v>254</v>
      </c>
      <c r="B169" s="11">
        <v>5</v>
      </c>
      <c r="C169" s="11" t="s">
        <v>23</v>
      </c>
      <c r="D169" s="11" t="s">
        <v>101</v>
      </c>
      <c r="E169" s="47">
        <v>12.5</v>
      </c>
      <c r="F169" s="11" t="s">
        <v>103</v>
      </c>
      <c r="G169" s="49">
        <f>VLOOKUP(C:C,yedekparca!A:D,3,0)</f>
        <v>3.6976744186046511</v>
      </c>
      <c r="H169" s="49">
        <f t="shared" si="2"/>
        <v>46.220930232558139</v>
      </c>
    </row>
    <row r="170" spans="1:8" outlineLevel="2" x14ac:dyDescent="0.25">
      <c r="A170" s="11" t="s">
        <v>254</v>
      </c>
      <c r="B170" s="11">
        <v>6</v>
      </c>
      <c r="C170" s="19" t="s">
        <v>1</v>
      </c>
      <c r="D170" s="19" t="s">
        <v>2</v>
      </c>
      <c r="E170" s="47">
        <v>1</v>
      </c>
      <c r="F170" s="21" t="s">
        <v>98</v>
      </c>
      <c r="G170" s="49">
        <f>VLOOKUP(C:C,yedekparca!A:D,3,0)</f>
        <v>58.139534883720927</v>
      </c>
      <c r="H170" s="49">
        <f t="shared" si="2"/>
        <v>58.139534883720927</v>
      </c>
    </row>
    <row r="171" spans="1:8" outlineLevel="1" x14ac:dyDescent="0.25">
      <c r="A171" s="11">
        <f>SUBTOTAL(9,A165:A170)</f>
        <v>0</v>
      </c>
      <c r="B171" s="11"/>
      <c r="C171" s="19"/>
      <c r="D171" s="19"/>
      <c r="E171" s="47"/>
      <c r="F171" s="21"/>
      <c r="G171" s="50" t="s">
        <v>298</v>
      </c>
      <c r="H171" s="49">
        <f>SUBTOTAL(9,H165:H170)</f>
        <v>257.25842411627906</v>
      </c>
    </row>
    <row r="172" spans="1:8" outlineLevel="2" x14ac:dyDescent="0.25">
      <c r="A172" s="11" t="s">
        <v>255</v>
      </c>
      <c r="B172" s="11">
        <v>1</v>
      </c>
      <c r="C172" s="10" t="s">
        <v>99</v>
      </c>
      <c r="D172" s="11" t="s">
        <v>49</v>
      </c>
      <c r="E172" s="47">
        <v>1</v>
      </c>
      <c r="F172" s="21" t="s">
        <v>98</v>
      </c>
      <c r="G172" s="49">
        <f>VLOOKUP(C:C,yedekparca!A:D,3,0)</f>
        <v>8.0779589999999999</v>
      </c>
      <c r="H172" s="49">
        <f t="shared" si="2"/>
        <v>8.0779589999999999</v>
      </c>
    </row>
    <row r="173" spans="1:8" outlineLevel="2" x14ac:dyDescent="0.25">
      <c r="A173" s="11" t="s">
        <v>255</v>
      </c>
      <c r="B173" s="11">
        <v>2</v>
      </c>
      <c r="C173" s="11" t="s">
        <v>104</v>
      </c>
      <c r="D173" s="11" t="s">
        <v>27</v>
      </c>
      <c r="E173" s="47">
        <v>9.1</v>
      </c>
      <c r="F173" s="11" t="s">
        <v>103</v>
      </c>
      <c r="G173" s="49">
        <f>VLOOKUP(C:C,yedekparca!A:D,3,0)</f>
        <v>4.7906976744186043</v>
      </c>
      <c r="H173" s="49">
        <f t="shared" si="2"/>
        <v>43.595348837209301</v>
      </c>
    </row>
    <row r="174" spans="1:8" outlineLevel="2" x14ac:dyDescent="0.25">
      <c r="A174" s="11" t="s">
        <v>255</v>
      </c>
      <c r="B174" s="11">
        <v>3</v>
      </c>
      <c r="C174" s="10" t="s">
        <v>97</v>
      </c>
      <c r="D174" s="11" t="s">
        <v>86</v>
      </c>
      <c r="E174" s="47">
        <v>1</v>
      </c>
      <c r="F174" s="21" t="s">
        <v>98</v>
      </c>
      <c r="G174" s="49">
        <f>VLOOKUP(C:C,yedekparca!A:D,3,0)</f>
        <v>42.62</v>
      </c>
      <c r="H174" s="49">
        <f t="shared" si="2"/>
        <v>42.62</v>
      </c>
    </row>
    <row r="175" spans="1:8" outlineLevel="2" x14ac:dyDescent="0.25">
      <c r="A175" s="11" t="s">
        <v>255</v>
      </c>
      <c r="B175" s="11">
        <v>4</v>
      </c>
      <c r="C175" s="11" t="s">
        <v>28</v>
      </c>
      <c r="D175" s="11" t="s">
        <v>16</v>
      </c>
      <c r="E175" s="47">
        <v>18</v>
      </c>
      <c r="F175" s="11" t="s">
        <v>103</v>
      </c>
      <c r="G175" s="49">
        <f>VLOOKUP(C:C,yedekparca!A:D,3,0)</f>
        <v>3.2558139534883721</v>
      </c>
      <c r="H175" s="49">
        <f t="shared" si="2"/>
        <v>58.604651162790695</v>
      </c>
    </row>
    <row r="176" spans="1:8" outlineLevel="2" x14ac:dyDescent="0.25">
      <c r="A176" s="11" t="s">
        <v>255</v>
      </c>
      <c r="B176" s="11">
        <v>5</v>
      </c>
      <c r="C176" s="11" t="s">
        <v>23</v>
      </c>
      <c r="D176" s="11" t="s">
        <v>101</v>
      </c>
      <c r="E176" s="47">
        <v>12.5</v>
      </c>
      <c r="F176" s="11" t="s">
        <v>103</v>
      </c>
      <c r="G176" s="49">
        <f>VLOOKUP(C:C,yedekparca!A:D,3,0)</f>
        <v>3.6976744186046511</v>
      </c>
      <c r="H176" s="49">
        <f t="shared" si="2"/>
        <v>46.220930232558139</v>
      </c>
    </row>
    <row r="177" spans="1:8" outlineLevel="2" x14ac:dyDescent="0.25">
      <c r="A177" s="11" t="s">
        <v>255</v>
      </c>
      <c r="B177" s="11">
        <v>6</v>
      </c>
      <c r="C177" s="19" t="s">
        <v>1</v>
      </c>
      <c r="D177" s="19" t="s">
        <v>2</v>
      </c>
      <c r="E177" s="47">
        <v>1</v>
      </c>
      <c r="F177" s="21" t="s">
        <v>98</v>
      </c>
      <c r="G177" s="49">
        <f>VLOOKUP(C:C,yedekparca!A:D,3,0)</f>
        <v>58.139534883720927</v>
      </c>
      <c r="H177" s="49">
        <f t="shared" si="2"/>
        <v>58.139534883720927</v>
      </c>
    </row>
    <row r="178" spans="1:8" outlineLevel="1" x14ac:dyDescent="0.25">
      <c r="A178" s="11">
        <f>SUBTOTAL(9,A172:A177)</f>
        <v>0</v>
      </c>
      <c r="B178" s="11"/>
      <c r="C178" s="19"/>
      <c r="D178" s="19"/>
      <c r="E178" s="47"/>
      <c r="F178" s="21"/>
      <c r="G178" s="50" t="s">
        <v>299</v>
      </c>
      <c r="H178" s="49">
        <f>SUBTOTAL(9,H172:H177)</f>
        <v>257.25842411627906</v>
      </c>
    </row>
    <row r="179" spans="1:8" outlineLevel="2" x14ac:dyDescent="0.25">
      <c r="A179" s="11" t="s">
        <v>256</v>
      </c>
      <c r="B179" s="11"/>
      <c r="C179" s="10" t="s">
        <v>99</v>
      </c>
      <c r="D179" s="11" t="s">
        <v>456</v>
      </c>
      <c r="E179" s="47">
        <v>1</v>
      </c>
      <c r="F179" s="21" t="s">
        <v>98</v>
      </c>
      <c r="G179" s="49">
        <f>VLOOKUP(C:C,yedekparca!A:D,3,0)</f>
        <v>8.0779589999999999</v>
      </c>
      <c r="H179" s="49">
        <f t="shared" si="2"/>
        <v>8.0779589999999999</v>
      </c>
    </row>
    <row r="180" spans="1:8" outlineLevel="2" x14ac:dyDescent="0.25">
      <c r="A180" s="11" t="s">
        <v>256</v>
      </c>
      <c r="B180" s="11"/>
      <c r="C180" s="11" t="s">
        <v>104</v>
      </c>
      <c r="D180" s="11" t="s">
        <v>457</v>
      </c>
      <c r="E180" s="47">
        <v>9.1</v>
      </c>
      <c r="F180" s="11" t="s">
        <v>103</v>
      </c>
      <c r="G180" s="49">
        <f>VLOOKUP(C:C,yedekparca!A:D,3,0)</f>
        <v>4.7906976744186043</v>
      </c>
      <c r="H180" s="49">
        <f t="shared" si="2"/>
        <v>43.595348837209301</v>
      </c>
    </row>
    <row r="181" spans="1:8" outlineLevel="2" x14ac:dyDescent="0.25">
      <c r="A181" s="11" t="s">
        <v>256</v>
      </c>
      <c r="B181" s="11"/>
      <c r="C181" s="11" t="s">
        <v>91</v>
      </c>
      <c r="D181" s="11" t="s">
        <v>47</v>
      </c>
      <c r="E181" s="47">
        <v>1</v>
      </c>
      <c r="F181" s="21" t="s">
        <v>98</v>
      </c>
      <c r="G181" s="49">
        <f>VLOOKUP(C:C,yedekparca!A:D,3,0)</f>
        <v>42.296841000000001</v>
      </c>
      <c r="H181" s="49">
        <f t="shared" si="2"/>
        <v>42.296841000000001</v>
      </c>
    </row>
    <row r="182" spans="1:8" outlineLevel="2" x14ac:dyDescent="0.25">
      <c r="A182" s="11" t="s">
        <v>256</v>
      </c>
      <c r="B182" s="11"/>
      <c r="C182" s="17" t="s">
        <v>57</v>
      </c>
      <c r="D182" s="11" t="s">
        <v>62</v>
      </c>
      <c r="E182" s="47">
        <v>1</v>
      </c>
      <c r="F182" s="21" t="s">
        <v>98</v>
      </c>
      <c r="G182" s="49">
        <f>VLOOKUP(C:C,yedekparca!A:D,3,0)</f>
        <v>27.274355999999997</v>
      </c>
      <c r="H182" s="49">
        <f t="shared" si="2"/>
        <v>27.274355999999997</v>
      </c>
    </row>
    <row r="183" spans="1:8" outlineLevel="2" x14ac:dyDescent="0.25">
      <c r="A183" s="11" t="s">
        <v>256</v>
      </c>
      <c r="B183" s="11"/>
      <c r="C183" s="17" t="s">
        <v>31</v>
      </c>
      <c r="D183" s="11" t="s">
        <v>32</v>
      </c>
      <c r="E183" s="47">
        <v>1</v>
      </c>
      <c r="F183" s="21" t="s">
        <v>98</v>
      </c>
      <c r="G183" s="49">
        <f>VLOOKUP(C:C,yedekparca!A:D,3,0)</f>
        <v>5.8650659999999997</v>
      </c>
      <c r="H183" s="49">
        <f t="shared" si="2"/>
        <v>5.8650659999999997</v>
      </c>
    </row>
    <row r="184" spans="1:8" outlineLevel="2" x14ac:dyDescent="0.25">
      <c r="A184" s="11" t="s">
        <v>256</v>
      </c>
      <c r="B184" s="11"/>
      <c r="C184" s="10" t="s">
        <v>66</v>
      </c>
      <c r="D184" s="11" t="s">
        <v>64</v>
      </c>
      <c r="E184" s="47">
        <v>1</v>
      </c>
      <c r="F184" s="21" t="s">
        <v>98</v>
      </c>
      <c r="G184" s="49">
        <f>VLOOKUP(C:C,yedekparca!A:D,3,0)</f>
        <v>3.3823079999999996</v>
      </c>
      <c r="H184" s="49">
        <f t="shared" si="2"/>
        <v>3.3823079999999996</v>
      </c>
    </row>
    <row r="185" spans="1:8" outlineLevel="2" x14ac:dyDescent="0.25">
      <c r="A185" s="11" t="s">
        <v>256</v>
      </c>
      <c r="B185" s="11"/>
      <c r="C185" s="10" t="s">
        <v>39</v>
      </c>
      <c r="D185" s="11" t="s">
        <v>458</v>
      </c>
      <c r="E185" s="47">
        <v>1</v>
      </c>
      <c r="F185" s="21" t="s">
        <v>98</v>
      </c>
      <c r="G185" s="49">
        <f>VLOOKUP(C:C,yedekparca!A:D,3,0)</f>
        <v>31.088448</v>
      </c>
      <c r="H185" s="49">
        <f t="shared" si="2"/>
        <v>31.088448</v>
      </c>
    </row>
    <row r="186" spans="1:8" outlineLevel="2" x14ac:dyDescent="0.25">
      <c r="A186" s="11" t="s">
        <v>256</v>
      </c>
      <c r="B186" s="11"/>
      <c r="C186" s="10" t="s">
        <v>38</v>
      </c>
      <c r="D186" s="11" t="s">
        <v>36</v>
      </c>
      <c r="E186" s="47">
        <v>1</v>
      </c>
      <c r="F186" s="21" t="s">
        <v>98</v>
      </c>
      <c r="G186" s="49">
        <f>VLOOKUP(C:C,yedekparca!A:D,3,0)</f>
        <v>20.221883999999999</v>
      </c>
      <c r="H186" s="49">
        <f t="shared" si="2"/>
        <v>20.221883999999999</v>
      </c>
    </row>
    <row r="187" spans="1:8" outlineLevel="2" x14ac:dyDescent="0.25">
      <c r="A187" s="11" t="s">
        <v>256</v>
      </c>
      <c r="B187" s="11"/>
      <c r="C187" s="19" t="s">
        <v>3</v>
      </c>
      <c r="D187" s="19" t="s">
        <v>4</v>
      </c>
      <c r="E187" s="47">
        <v>1</v>
      </c>
      <c r="F187" s="21" t="s">
        <v>98</v>
      </c>
      <c r="G187" s="49">
        <f>VLOOKUP(C:C,yedekparca!A:D,3,0)</f>
        <v>93.023255813953483</v>
      </c>
      <c r="H187" s="49">
        <f t="shared" si="2"/>
        <v>93.023255813953483</v>
      </c>
    </row>
    <row r="188" spans="1:8" outlineLevel="1" x14ac:dyDescent="0.25">
      <c r="A188" s="11">
        <f>SUBTOTAL(9,A179:A187)</f>
        <v>0</v>
      </c>
      <c r="B188" s="11"/>
      <c r="C188" s="19"/>
      <c r="D188" s="19"/>
      <c r="E188" s="47"/>
      <c r="F188" s="21"/>
      <c r="G188" s="50" t="s">
        <v>300</v>
      </c>
      <c r="H188" s="49">
        <f>SUBTOTAL(9,H179:H187)</f>
        <v>274.82546665116274</v>
      </c>
    </row>
    <row r="189" spans="1:8" outlineLevel="2" x14ac:dyDescent="0.25">
      <c r="A189" s="11" t="s">
        <v>257</v>
      </c>
      <c r="B189" s="11"/>
      <c r="C189" s="10" t="s">
        <v>99</v>
      </c>
      <c r="D189" s="11" t="s">
        <v>456</v>
      </c>
      <c r="E189" s="47">
        <v>1</v>
      </c>
      <c r="F189" s="21" t="s">
        <v>98</v>
      </c>
      <c r="G189" s="49">
        <f>VLOOKUP(C:C,yedekparca!A:D,3,0)</f>
        <v>8.0779589999999999</v>
      </c>
      <c r="H189" s="49">
        <f t="shared" si="2"/>
        <v>8.0779589999999999</v>
      </c>
    </row>
    <row r="190" spans="1:8" outlineLevel="2" x14ac:dyDescent="0.25">
      <c r="A190" s="11" t="s">
        <v>257</v>
      </c>
      <c r="B190" s="11"/>
      <c r="C190" s="11" t="s">
        <v>104</v>
      </c>
      <c r="D190" s="11" t="s">
        <v>457</v>
      </c>
      <c r="E190" s="47">
        <v>9.1</v>
      </c>
      <c r="F190" s="11" t="s">
        <v>103</v>
      </c>
      <c r="G190" s="49">
        <f>VLOOKUP(C:C,yedekparca!A:D,3,0)</f>
        <v>4.7906976744186043</v>
      </c>
      <c r="H190" s="49">
        <f t="shared" si="2"/>
        <v>43.595348837209301</v>
      </c>
    </row>
    <row r="191" spans="1:8" outlineLevel="2" x14ac:dyDescent="0.25">
      <c r="A191" s="11" t="s">
        <v>257</v>
      </c>
      <c r="B191" s="11"/>
      <c r="C191" s="10" t="s">
        <v>66</v>
      </c>
      <c r="D191" s="11" t="s">
        <v>64</v>
      </c>
      <c r="E191" s="47">
        <v>1</v>
      </c>
      <c r="F191" s="21" t="s">
        <v>98</v>
      </c>
      <c r="G191" s="49">
        <f>VLOOKUP(C:C,yedekparca!A:D,3,0)</f>
        <v>3.3823079999999996</v>
      </c>
      <c r="H191" s="49">
        <f t="shared" si="2"/>
        <v>3.3823079999999996</v>
      </c>
    </row>
    <row r="192" spans="1:8" outlineLevel="2" x14ac:dyDescent="0.25">
      <c r="A192" s="11" t="s">
        <v>257</v>
      </c>
      <c r="B192" s="11"/>
      <c r="C192" s="17" t="s">
        <v>57</v>
      </c>
      <c r="D192" s="11" t="s">
        <v>62</v>
      </c>
      <c r="E192" s="47">
        <v>1</v>
      </c>
      <c r="F192" s="21" t="s">
        <v>98</v>
      </c>
      <c r="G192" s="49">
        <f>VLOOKUP(C:C,yedekparca!A:D,3,0)</f>
        <v>27.274355999999997</v>
      </c>
      <c r="H192" s="49">
        <f t="shared" si="2"/>
        <v>27.274355999999997</v>
      </c>
    </row>
    <row r="193" spans="1:8" outlineLevel="2" x14ac:dyDescent="0.25">
      <c r="A193" s="11" t="s">
        <v>257</v>
      </c>
      <c r="B193" s="11"/>
      <c r="C193" s="17" t="s">
        <v>91</v>
      </c>
      <c r="D193" s="11" t="s">
        <v>46</v>
      </c>
      <c r="E193" s="47">
        <v>1</v>
      </c>
      <c r="F193" s="21" t="s">
        <v>98</v>
      </c>
      <c r="G193" s="49">
        <f>VLOOKUP(C:C,yedekparca!A:D,3,0)</f>
        <v>42.296841000000001</v>
      </c>
      <c r="H193" s="49">
        <f t="shared" si="2"/>
        <v>42.296841000000001</v>
      </c>
    </row>
    <row r="194" spans="1:8" outlineLevel="2" x14ac:dyDescent="0.25">
      <c r="A194" s="11" t="s">
        <v>257</v>
      </c>
      <c r="B194" s="11"/>
      <c r="C194" s="17" t="s">
        <v>31</v>
      </c>
      <c r="D194" s="11" t="s">
        <v>32</v>
      </c>
      <c r="E194" s="47">
        <v>1</v>
      </c>
      <c r="F194" s="21" t="s">
        <v>98</v>
      </c>
      <c r="G194" s="49">
        <f>VLOOKUP(C:C,yedekparca!A:D,3,0)</f>
        <v>5.8650659999999997</v>
      </c>
      <c r="H194" s="49">
        <f t="shared" si="2"/>
        <v>5.8650659999999997</v>
      </c>
    </row>
    <row r="195" spans="1:8" outlineLevel="2" x14ac:dyDescent="0.25">
      <c r="A195" s="11" t="s">
        <v>257</v>
      </c>
      <c r="B195" s="11"/>
      <c r="C195" s="10" t="s">
        <v>39</v>
      </c>
      <c r="D195" s="11" t="s">
        <v>34</v>
      </c>
      <c r="E195" s="47">
        <v>1</v>
      </c>
      <c r="F195" s="21" t="s">
        <v>98</v>
      </c>
      <c r="G195" s="49">
        <f>VLOOKUP(C:C,yedekparca!A:D,3,0)</f>
        <v>31.088448</v>
      </c>
      <c r="H195" s="49">
        <f t="shared" si="2"/>
        <v>31.088448</v>
      </c>
    </row>
    <row r="196" spans="1:8" outlineLevel="2" x14ac:dyDescent="0.25">
      <c r="A196" s="11" t="s">
        <v>257</v>
      </c>
      <c r="B196" s="11"/>
      <c r="C196" s="10" t="s">
        <v>38</v>
      </c>
      <c r="D196" s="11" t="s">
        <v>37</v>
      </c>
      <c r="E196" s="47">
        <v>1</v>
      </c>
      <c r="F196" s="21" t="s">
        <v>98</v>
      </c>
      <c r="G196" s="49">
        <f>VLOOKUP(C:C,yedekparca!A:D,3,0)</f>
        <v>20.221883999999999</v>
      </c>
      <c r="H196" s="49">
        <f t="shared" si="2"/>
        <v>20.221883999999999</v>
      </c>
    </row>
    <row r="197" spans="1:8" outlineLevel="2" x14ac:dyDescent="0.25">
      <c r="A197" s="11" t="s">
        <v>257</v>
      </c>
      <c r="B197" s="11"/>
      <c r="C197" s="10" t="s">
        <v>97</v>
      </c>
      <c r="D197" s="11" t="s">
        <v>86</v>
      </c>
      <c r="E197" s="47">
        <v>1</v>
      </c>
      <c r="F197" s="21" t="s">
        <v>98</v>
      </c>
      <c r="G197" s="49">
        <f>VLOOKUP(C:C,yedekparca!A:D,3,0)</f>
        <v>42.62</v>
      </c>
      <c r="H197" s="49">
        <f t="shared" si="2"/>
        <v>42.62</v>
      </c>
    </row>
    <row r="198" spans="1:8" outlineLevel="2" x14ac:dyDescent="0.25">
      <c r="A198" s="11" t="s">
        <v>257</v>
      </c>
      <c r="B198" s="11"/>
      <c r="C198" s="11" t="s">
        <v>28</v>
      </c>
      <c r="D198" s="11" t="s">
        <v>16</v>
      </c>
      <c r="E198" s="47">
        <v>18</v>
      </c>
      <c r="F198" s="11" t="s">
        <v>103</v>
      </c>
      <c r="G198" s="49">
        <f>VLOOKUP(C:C,yedekparca!A:D,3,0)</f>
        <v>3.2558139534883721</v>
      </c>
      <c r="H198" s="49">
        <f t="shared" si="2"/>
        <v>58.604651162790695</v>
      </c>
    </row>
    <row r="199" spans="1:8" outlineLevel="2" x14ac:dyDescent="0.25">
      <c r="A199" s="11" t="s">
        <v>257</v>
      </c>
      <c r="B199" s="11"/>
      <c r="C199" s="11" t="s">
        <v>23</v>
      </c>
      <c r="D199" s="11" t="s">
        <v>101</v>
      </c>
      <c r="E199" s="47">
        <v>12.5</v>
      </c>
      <c r="F199" s="11" t="s">
        <v>103</v>
      </c>
      <c r="G199" s="49">
        <f>VLOOKUP(C:C,yedekparca!A:D,3,0)</f>
        <v>3.6976744186046511</v>
      </c>
      <c r="H199" s="49">
        <f t="shared" si="2"/>
        <v>46.220930232558139</v>
      </c>
    </row>
    <row r="200" spans="1:8" outlineLevel="2" x14ac:dyDescent="0.25">
      <c r="A200" s="11" t="s">
        <v>257</v>
      </c>
      <c r="B200" s="11"/>
      <c r="C200" s="11" t="s">
        <v>17</v>
      </c>
      <c r="D200" s="11" t="s">
        <v>18</v>
      </c>
      <c r="E200" s="47">
        <v>0.5</v>
      </c>
      <c r="F200" s="11" t="s">
        <v>103</v>
      </c>
      <c r="G200" s="49">
        <f>VLOOKUP(C:C,yedekparca!A:D,3,0)</f>
        <v>2.8069767441860467</v>
      </c>
      <c r="H200" s="49">
        <f t="shared" si="2"/>
        <v>1.4034883720930234</v>
      </c>
    </row>
    <row r="201" spans="1:8" outlineLevel="2" x14ac:dyDescent="0.25">
      <c r="A201" s="11" t="s">
        <v>257</v>
      </c>
      <c r="B201" s="11"/>
      <c r="C201" s="10" t="s">
        <v>77</v>
      </c>
      <c r="D201" s="11" t="s">
        <v>70</v>
      </c>
      <c r="E201" s="47">
        <v>1</v>
      </c>
      <c r="F201" s="21" t="s">
        <v>98</v>
      </c>
      <c r="G201" s="49">
        <f>VLOOKUP(C:C,yedekparca!A:D,3,0)</f>
        <v>83.676140999999987</v>
      </c>
      <c r="H201" s="49">
        <f t="shared" si="2"/>
        <v>83.676140999999987</v>
      </c>
    </row>
    <row r="202" spans="1:8" outlineLevel="2" x14ac:dyDescent="0.25">
      <c r="A202" s="11" t="s">
        <v>257</v>
      </c>
      <c r="B202" s="11"/>
      <c r="C202" s="15" t="s">
        <v>84</v>
      </c>
      <c r="D202" s="11" t="s">
        <v>68</v>
      </c>
      <c r="E202" s="47">
        <v>1</v>
      </c>
      <c r="F202" s="21" t="s">
        <v>98</v>
      </c>
      <c r="G202" s="49">
        <f>VLOOKUP(C:C,yedekparca!A:D,3,0)</f>
        <v>26.680653</v>
      </c>
      <c r="H202" s="49">
        <f t="shared" si="2"/>
        <v>26.680653</v>
      </c>
    </row>
    <row r="203" spans="1:8" outlineLevel="2" x14ac:dyDescent="0.25">
      <c r="A203" s="11" t="s">
        <v>257</v>
      </c>
      <c r="B203" s="11"/>
      <c r="C203" s="19" t="s">
        <v>5</v>
      </c>
      <c r="D203" s="19" t="s">
        <v>6</v>
      </c>
      <c r="E203" s="47">
        <v>1</v>
      </c>
      <c r="F203" s="21" t="s">
        <v>98</v>
      </c>
      <c r="G203" s="49">
        <f>VLOOKUP(C:C,yedekparca!A:D,3,0)</f>
        <v>139.53488372093022</v>
      </c>
      <c r="H203" s="49">
        <f t="shared" si="2"/>
        <v>139.53488372093022</v>
      </c>
    </row>
    <row r="204" spans="1:8" outlineLevel="1" x14ac:dyDescent="0.25">
      <c r="A204" s="11">
        <f>SUBTOTAL(9,A189:A203)</f>
        <v>0</v>
      </c>
      <c r="B204" s="11"/>
      <c r="C204" s="19"/>
      <c r="D204" s="19"/>
      <c r="E204" s="47"/>
      <c r="F204" s="21"/>
      <c r="G204" s="50" t="s">
        <v>301</v>
      </c>
      <c r="H204" s="49">
        <f>SUBTOTAL(9,H189:H203)</f>
        <v>580.54295832558137</v>
      </c>
    </row>
    <row r="205" spans="1:8" outlineLevel="2" x14ac:dyDescent="0.25">
      <c r="A205" s="11" t="s">
        <v>258</v>
      </c>
      <c r="B205" s="11"/>
      <c r="C205" s="10" t="s">
        <v>99</v>
      </c>
      <c r="D205" s="11" t="s">
        <v>49</v>
      </c>
      <c r="E205" s="47">
        <v>1</v>
      </c>
      <c r="F205" s="21" t="s">
        <v>98</v>
      </c>
      <c r="G205" s="49">
        <f>VLOOKUP(C:C,yedekparca!A:D,3,0)</f>
        <v>8.0779589999999999</v>
      </c>
      <c r="H205" s="49">
        <f t="shared" si="2"/>
        <v>8.0779589999999999</v>
      </c>
    </row>
    <row r="206" spans="1:8" outlineLevel="2" x14ac:dyDescent="0.25">
      <c r="A206" s="11" t="s">
        <v>258</v>
      </c>
      <c r="B206" s="11"/>
      <c r="C206" s="11" t="s">
        <v>104</v>
      </c>
      <c r="D206" s="11" t="s">
        <v>27</v>
      </c>
      <c r="E206" s="47">
        <v>9.1</v>
      </c>
      <c r="F206" s="11" t="s">
        <v>103</v>
      </c>
      <c r="G206" s="49">
        <f>VLOOKUP(C:C,yedekparca!A:D,3,0)</f>
        <v>4.7906976744186043</v>
      </c>
      <c r="H206" s="49">
        <f t="shared" si="2"/>
        <v>43.595348837209301</v>
      </c>
    </row>
    <row r="207" spans="1:8" outlineLevel="2" x14ac:dyDescent="0.25">
      <c r="A207" s="11" t="s">
        <v>258</v>
      </c>
      <c r="B207" s="11"/>
      <c r="C207" s="10" t="s">
        <v>66</v>
      </c>
      <c r="D207" s="11" t="s">
        <v>64</v>
      </c>
      <c r="E207" s="47">
        <v>1</v>
      </c>
      <c r="F207" s="21" t="s">
        <v>98</v>
      </c>
      <c r="G207" s="49">
        <f>VLOOKUP(C:C,yedekparca!A:D,3,0)</f>
        <v>3.3823079999999996</v>
      </c>
      <c r="H207" s="49">
        <f t="shared" si="2"/>
        <v>3.3823079999999996</v>
      </c>
    </row>
    <row r="208" spans="1:8" outlineLevel="2" x14ac:dyDescent="0.25">
      <c r="A208" s="11" t="s">
        <v>258</v>
      </c>
      <c r="B208" s="11"/>
      <c r="C208" s="17" t="s">
        <v>57</v>
      </c>
      <c r="D208" s="11" t="s">
        <v>62</v>
      </c>
      <c r="E208" s="47">
        <v>1</v>
      </c>
      <c r="F208" s="21" t="s">
        <v>98</v>
      </c>
      <c r="G208" s="49">
        <f>VLOOKUP(C:C,yedekparca!A:D,3,0)</f>
        <v>27.274355999999997</v>
      </c>
      <c r="H208" s="49">
        <f t="shared" si="2"/>
        <v>27.274355999999997</v>
      </c>
    </row>
    <row r="209" spans="1:8" outlineLevel="2" x14ac:dyDescent="0.25">
      <c r="A209" s="11" t="s">
        <v>258</v>
      </c>
      <c r="B209" s="11"/>
      <c r="C209" s="17" t="s">
        <v>91</v>
      </c>
      <c r="D209" s="11" t="s">
        <v>46</v>
      </c>
      <c r="E209" s="47">
        <v>1</v>
      </c>
      <c r="F209" s="21" t="s">
        <v>98</v>
      </c>
      <c r="G209" s="49">
        <f>VLOOKUP(C:C,yedekparca!A:D,3,0)</f>
        <v>42.296841000000001</v>
      </c>
      <c r="H209" s="49">
        <f t="shared" si="2"/>
        <v>42.296841000000001</v>
      </c>
    </row>
    <row r="210" spans="1:8" outlineLevel="2" x14ac:dyDescent="0.25">
      <c r="A210" s="11" t="s">
        <v>258</v>
      </c>
      <c r="B210" s="11"/>
      <c r="C210" s="17" t="s">
        <v>31</v>
      </c>
      <c r="D210" s="11" t="s">
        <v>32</v>
      </c>
      <c r="E210" s="47">
        <v>1</v>
      </c>
      <c r="F210" s="21" t="s">
        <v>98</v>
      </c>
      <c r="G210" s="49">
        <f>VLOOKUP(C:C,yedekparca!A:D,3,0)</f>
        <v>5.8650659999999997</v>
      </c>
      <c r="H210" s="49">
        <f t="shared" si="2"/>
        <v>5.8650659999999997</v>
      </c>
    </row>
    <row r="211" spans="1:8" outlineLevel="2" x14ac:dyDescent="0.25">
      <c r="A211" s="11" t="s">
        <v>258</v>
      </c>
      <c r="B211" s="11"/>
      <c r="C211" s="10" t="s">
        <v>39</v>
      </c>
      <c r="D211" s="11" t="s">
        <v>34</v>
      </c>
      <c r="E211" s="47">
        <v>1</v>
      </c>
      <c r="F211" s="21" t="s">
        <v>98</v>
      </c>
      <c r="G211" s="49">
        <f>VLOOKUP(C:C,yedekparca!A:D,3,0)</f>
        <v>31.088448</v>
      </c>
      <c r="H211" s="49">
        <f t="shared" si="2"/>
        <v>31.088448</v>
      </c>
    </row>
    <row r="212" spans="1:8" outlineLevel="2" x14ac:dyDescent="0.25">
      <c r="A212" s="11" t="s">
        <v>258</v>
      </c>
      <c r="B212" s="11"/>
      <c r="C212" s="10" t="s">
        <v>38</v>
      </c>
      <c r="D212" s="11" t="s">
        <v>37</v>
      </c>
      <c r="E212" s="47">
        <v>1</v>
      </c>
      <c r="F212" s="21" t="s">
        <v>98</v>
      </c>
      <c r="G212" s="49">
        <f>VLOOKUP(C:C,yedekparca!A:D,3,0)</f>
        <v>20.221883999999999</v>
      </c>
      <c r="H212" s="49">
        <f t="shared" si="2"/>
        <v>20.221883999999999</v>
      </c>
    </row>
    <row r="213" spans="1:8" outlineLevel="2" x14ac:dyDescent="0.25">
      <c r="A213" s="11" t="s">
        <v>258</v>
      </c>
      <c r="B213" s="11"/>
      <c r="C213" s="10" t="s">
        <v>97</v>
      </c>
      <c r="D213" s="11" t="s">
        <v>86</v>
      </c>
      <c r="E213" s="47">
        <v>1</v>
      </c>
      <c r="F213" s="21" t="s">
        <v>98</v>
      </c>
      <c r="G213" s="49">
        <f>VLOOKUP(C:C,yedekparca!A:D,3,0)</f>
        <v>42.62</v>
      </c>
      <c r="H213" s="49">
        <f t="shared" si="2"/>
        <v>42.62</v>
      </c>
    </row>
    <row r="214" spans="1:8" outlineLevel="2" x14ac:dyDescent="0.25">
      <c r="A214" s="11" t="s">
        <v>258</v>
      </c>
      <c r="B214" s="11"/>
      <c r="C214" s="11" t="s">
        <v>28</v>
      </c>
      <c r="D214" s="11" t="s">
        <v>16</v>
      </c>
      <c r="E214" s="47">
        <v>18</v>
      </c>
      <c r="F214" s="11" t="s">
        <v>103</v>
      </c>
      <c r="G214" s="49">
        <f>VLOOKUP(C:C,yedekparca!A:D,3,0)</f>
        <v>3.2558139534883721</v>
      </c>
      <c r="H214" s="49">
        <f t="shared" ref="H214:H282" si="3">E214*G214</f>
        <v>58.604651162790695</v>
      </c>
    </row>
    <row r="215" spans="1:8" outlineLevel="2" x14ac:dyDescent="0.25">
      <c r="A215" s="11" t="s">
        <v>258</v>
      </c>
      <c r="B215" s="11"/>
      <c r="C215" s="11" t="s">
        <v>23</v>
      </c>
      <c r="D215" s="11" t="s">
        <v>101</v>
      </c>
      <c r="E215" s="47">
        <v>12.5</v>
      </c>
      <c r="F215" s="11" t="s">
        <v>103</v>
      </c>
      <c r="G215" s="49">
        <f>VLOOKUP(C:C,yedekparca!A:D,3,0)</f>
        <v>3.6976744186046511</v>
      </c>
      <c r="H215" s="49">
        <f t="shared" si="3"/>
        <v>46.220930232558139</v>
      </c>
    </row>
    <row r="216" spans="1:8" outlineLevel="2" x14ac:dyDescent="0.25">
      <c r="A216" s="11" t="s">
        <v>258</v>
      </c>
      <c r="B216" s="11"/>
      <c r="C216" s="11" t="s">
        <v>17</v>
      </c>
      <c r="D216" s="11" t="s">
        <v>18</v>
      </c>
      <c r="E216" s="47">
        <v>0.5</v>
      </c>
      <c r="F216" s="11" t="s">
        <v>103</v>
      </c>
      <c r="G216" s="49">
        <f>VLOOKUP(C:C,yedekparca!A:D,3,0)</f>
        <v>2.8069767441860467</v>
      </c>
      <c r="H216" s="49">
        <f t="shared" si="3"/>
        <v>1.4034883720930234</v>
      </c>
    </row>
    <row r="217" spans="1:8" outlineLevel="2" x14ac:dyDescent="0.25">
      <c r="A217" s="11" t="s">
        <v>258</v>
      </c>
      <c r="B217" s="11"/>
      <c r="C217" s="10" t="s">
        <v>77</v>
      </c>
      <c r="D217" s="11" t="s">
        <v>70</v>
      </c>
      <c r="E217" s="47">
        <v>1</v>
      </c>
      <c r="F217" s="21" t="s">
        <v>98</v>
      </c>
      <c r="G217" s="49">
        <f>VLOOKUP(C:C,yedekparca!A:D,3,0)</f>
        <v>83.676140999999987</v>
      </c>
      <c r="H217" s="49">
        <f t="shared" si="3"/>
        <v>83.676140999999987</v>
      </c>
    </row>
    <row r="218" spans="1:8" outlineLevel="2" x14ac:dyDescent="0.25">
      <c r="A218" s="11" t="s">
        <v>258</v>
      </c>
      <c r="B218" s="11"/>
      <c r="C218" s="15" t="s">
        <v>84</v>
      </c>
      <c r="D218" s="11" t="s">
        <v>68</v>
      </c>
      <c r="E218" s="47">
        <v>1</v>
      </c>
      <c r="F218" s="21" t="s">
        <v>98</v>
      </c>
      <c r="G218" s="49">
        <f>VLOOKUP(C:C,yedekparca!A:D,3,0)</f>
        <v>26.680653</v>
      </c>
      <c r="H218" s="49">
        <f t="shared" si="3"/>
        <v>26.680653</v>
      </c>
    </row>
    <row r="219" spans="1:8" outlineLevel="2" x14ac:dyDescent="0.25">
      <c r="A219" s="11" t="s">
        <v>258</v>
      </c>
      <c r="B219" s="11"/>
      <c r="C219" s="11" t="s">
        <v>19</v>
      </c>
      <c r="D219" s="11" t="s">
        <v>20</v>
      </c>
      <c r="E219" s="47">
        <v>125</v>
      </c>
      <c r="F219" s="11" t="s">
        <v>103</v>
      </c>
      <c r="G219" s="49">
        <f>VLOOKUP(C:C,yedekparca!A:D,3,0)</f>
        <v>2.6911627906976743</v>
      </c>
      <c r="H219" s="49">
        <f t="shared" si="3"/>
        <v>336.39534883720927</v>
      </c>
    </row>
    <row r="220" spans="1:8" outlineLevel="2" x14ac:dyDescent="0.25">
      <c r="A220" s="11" t="s">
        <v>258</v>
      </c>
      <c r="B220" s="11"/>
      <c r="C220" s="10" t="s">
        <v>74</v>
      </c>
      <c r="D220" s="11" t="s">
        <v>105</v>
      </c>
      <c r="E220" s="47">
        <v>1</v>
      </c>
      <c r="F220" s="21" t="s">
        <v>98</v>
      </c>
      <c r="G220" s="49">
        <f>VLOOKUP(C:C,yedekparca!A:D,3,0)</f>
        <v>129.966984</v>
      </c>
      <c r="H220" s="49">
        <f t="shared" si="3"/>
        <v>129.966984</v>
      </c>
    </row>
    <row r="221" spans="1:8" outlineLevel="2" x14ac:dyDescent="0.25">
      <c r="A221" s="11" t="s">
        <v>258</v>
      </c>
      <c r="B221" s="11"/>
      <c r="C221" s="19" t="s">
        <v>5</v>
      </c>
      <c r="D221" s="19" t="s">
        <v>6</v>
      </c>
      <c r="E221" s="47">
        <v>1</v>
      </c>
      <c r="F221" s="21" t="s">
        <v>98</v>
      </c>
      <c r="G221" s="49">
        <f>VLOOKUP(C:C,yedekparca!A:D,3,0)</f>
        <v>139.53488372093022</v>
      </c>
      <c r="H221" s="49">
        <f t="shared" si="3"/>
        <v>139.53488372093022</v>
      </c>
    </row>
    <row r="222" spans="1:8" outlineLevel="1" x14ac:dyDescent="0.25">
      <c r="A222" s="11">
        <f>SUBTOTAL(9,A205:A221)</f>
        <v>0</v>
      </c>
      <c r="B222" s="11"/>
      <c r="C222" s="19"/>
      <c r="D222" s="19"/>
      <c r="E222" s="47"/>
      <c r="F222" s="21"/>
      <c r="G222" s="50" t="s">
        <v>302</v>
      </c>
      <c r="H222" s="49">
        <f>SUBTOTAL(9,H205:H221)</f>
        <v>1046.9052911627907</v>
      </c>
    </row>
    <row r="223" spans="1:8" outlineLevel="2" x14ac:dyDescent="0.25">
      <c r="A223" s="11" t="s">
        <v>259</v>
      </c>
      <c r="B223" s="11"/>
      <c r="C223" s="10" t="s">
        <v>61</v>
      </c>
      <c r="D223" s="11" t="s">
        <v>49</v>
      </c>
      <c r="E223" s="47">
        <v>1</v>
      </c>
      <c r="F223" s="2" t="s">
        <v>98</v>
      </c>
      <c r="G223" s="49">
        <f>VLOOKUP(C:C,yedekparca!A:D,3,0)</f>
        <v>55.682144999999998</v>
      </c>
      <c r="H223" s="49">
        <f t="shared" si="3"/>
        <v>55.682144999999998</v>
      </c>
    </row>
    <row r="224" spans="1:8" outlineLevel="2" x14ac:dyDescent="0.25">
      <c r="A224" s="11" t="s">
        <v>259</v>
      </c>
      <c r="B224" s="11"/>
      <c r="C224" s="11" t="s">
        <v>104</v>
      </c>
      <c r="D224" s="11" t="s">
        <v>27</v>
      </c>
      <c r="E224" s="47">
        <v>12</v>
      </c>
      <c r="F224" s="11" t="s">
        <v>103</v>
      </c>
      <c r="G224" s="49">
        <f>VLOOKUP(C:C,yedekparca!A:D,3,0)</f>
        <v>4.7906976744186043</v>
      </c>
      <c r="H224" s="49">
        <f t="shared" si="3"/>
        <v>57.488372093023251</v>
      </c>
    </row>
    <row r="225" spans="1:8" outlineLevel="2" x14ac:dyDescent="0.25">
      <c r="A225" s="11" t="s">
        <v>259</v>
      </c>
      <c r="B225" s="11"/>
      <c r="C225" s="10" t="s">
        <v>97</v>
      </c>
      <c r="D225" s="11" t="s">
        <v>86</v>
      </c>
      <c r="E225" s="47">
        <v>1</v>
      </c>
      <c r="F225" s="2" t="s">
        <v>98</v>
      </c>
      <c r="G225" s="49">
        <f>VLOOKUP(C:C,yedekparca!A:D,3,0)</f>
        <v>42.62</v>
      </c>
      <c r="H225" s="49">
        <f t="shared" si="3"/>
        <v>42.62</v>
      </c>
    </row>
    <row r="226" spans="1:8" outlineLevel="2" x14ac:dyDescent="0.25">
      <c r="A226" s="11" t="s">
        <v>259</v>
      </c>
      <c r="B226" s="11"/>
      <c r="C226" s="11" t="s">
        <v>28</v>
      </c>
      <c r="D226" s="11" t="s">
        <v>16</v>
      </c>
      <c r="E226" s="47">
        <v>20</v>
      </c>
      <c r="F226" s="11" t="s">
        <v>103</v>
      </c>
      <c r="G226" s="49">
        <f>VLOOKUP(C:C,yedekparca!A:D,3,0)</f>
        <v>3.2558139534883721</v>
      </c>
      <c r="H226" s="49">
        <f t="shared" si="3"/>
        <v>65.116279069767444</v>
      </c>
    </row>
    <row r="227" spans="1:8" outlineLevel="2" x14ac:dyDescent="0.25">
      <c r="A227" s="11" t="s">
        <v>259</v>
      </c>
      <c r="B227" s="11"/>
      <c r="C227" s="11" t="s">
        <v>23</v>
      </c>
      <c r="D227" s="11" t="s">
        <v>101</v>
      </c>
      <c r="E227" s="47">
        <v>13</v>
      </c>
      <c r="F227" s="11" t="s">
        <v>103</v>
      </c>
      <c r="G227" s="49">
        <f>VLOOKUP(C:C,yedekparca!A:D,3,0)</f>
        <v>3.6976744186046511</v>
      </c>
      <c r="H227" s="49">
        <f t="shared" si="3"/>
        <v>48.069767441860463</v>
      </c>
    </row>
    <row r="228" spans="1:8" outlineLevel="2" x14ac:dyDescent="0.25">
      <c r="A228" s="11" t="s">
        <v>259</v>
      </c>
      <c r="B228" s="11"/>
      <c r="C228" s="19" t="s">
        <v>1</v>
      </c>
      <c r="D228" s="19" t="s">
        <v>2</v>
      </c>
      <c r="E228" s="47">
        <v>1</v>
      </c>
      <c r="F228" s="2" t="s">
        <v>98</v>
      </c>
      <c r="G228" s="49">
        <f>VLOOKUP(C:C,yedekparca!A:D,3,0)</f>
        <v>58.139534883720927</v>
      </c>
      <c r="H228" s="49">
        <f t="shared" si="3"/>
        <v>58.139534883720927</v>
      </c>
    </row>
    <row r="229" spans="1:8" outlineLevel="1" x14ac:dyDescent="0.25">
      <c r="A229" s="11">
        <f>SUBTOTAL(9,A223:A228)</f>
        <v>0</v>
      </c>
      <c r="B229" s="11"/>
      <c r="C229" s="19"/>
      <c r="D229" s="19"/>
      <c r="E229" s="47"/>
      <c r="F229" s="2"/>
      <c r="G229" s="50" t="s">
        <v>303</v>
      </c>
      <c r="H229" s="49">
        <f>SUBTOTAL(9,H223:H228)</f>
        <v>327.11609848837213</v>
      </c>
    </row>
    <row r="230" spans="1:8" outlineLevel="2" x14ac:dyDescent="0.25">
      <c r="A230" s="11" t="s">
        <v>260</v>
      </c>
      <c r="B230" s="11"/>
      <c r="C230" s="10" t="s">
        <v>60</v>
      </c>
      <c r="D230" s="11" t="s">
        <v>59</v>
      </c>
      <c r="E230" s="47">
        <v>1</v>
      </c>
      <c r="F230" s="2" t="s">
        <v>98</v>
      </c>
      <c r="G230" s="49">
        <f>VLOOKUP(C:C,yedekparca!A:D,3,0)</f>
        <v>61.313327999999991</v>
      </c>
      <c r="H230" s="49">
        <f t="shared" si="3"/>
        <v>61.313327999999991</v>
      </c>
    </row>
    <row r="231" spans="1:8" outlineLevel="2" x14ac:dyDescent="0.25">
      <c r="A231" s="11" t="s">
        <v>260</v>
      </c>
      <c r="B231" s="11"/>
      <c r="C231" s="10" t="s">
        <v>66</v>
      </c>
      <c r="D231" s="11" t="s">
        <v>64</v>
      </c>
      <c r="E231" s="47">
        <v>1</v>
      </c>
      <c r="F231" s="2" t="s">
        <v>98</v>
      </c>
      <c r="G231" s="49">
        <f>VLOOKUP(C:C,yedekparca!A:D,3,0)</f>
        <v>3.3823079999999996</v>
      </c>
      <c r="H231" s="49">
        <f t="shared" si="3"/>
        <v>3.3823079999999996</v>
      </c>
    </row>
    <row r="232" spans="1:8" outlineLevel="2" x14ac:dyDescent="0.25">
      <c r="A232" s="11" t="s">
        <v>260</v>
      </c>
      <c r="B232" s="11"/>
      <c r="C232" s="11" t="s">
        <v>162</v>
      </c>
      <c r="D232" s="11" t="s">
        <v>81</v>
      </c>
      <c r="E232" s="47">
        <v>1</v>
      </c>
      <c r="F232" s="2" t="s">
        <v>98</v>
      </c>
      <c r="G232" s="49">
        <f>VLOOKUP(C:C,yedekparca!A:D,3,0)</f>
        <v>13.511240999999998</v>
      </c>
      <c r="H232" s="49">
        <f t="shared" si="3"/>
        <v>13.511240999999998</v>
      </c>
    </row>
    <row r="233" spans="1:8" outlineLevel="2" x14ac:dyDescent="0.25">
      <c r="A233" s="11" t="s">
        <v>260</v>
      </c>
      <c r="B233" s="11"/>
      <c r="C233" s="11" t="s">
        <v>94</v>
      </c>
      <c r="D233" s="11" t="s">
        <v>81</v>
      </c>
      <c r="E233" s="47">
        <v>1</v>
      </c>
      <c r="F233" s="2" t="s">
        <v>98</v>
      </c>
      <c r="G233" s="49">
        <f>VLOOKUP(C:C,yedekparca!A:D,3,0)</f>
        <v>40.533723000000002</v>
      </c>
      <c r="H233" s="49">
        <f t="shared" si="3"/>
        <v>40.533723000000002</v>
      </c>
    </row>
    <row r="234" spans="1:8" outlineLevel="2" x14ac:dyDescent="0.25">
      <c r="A234" s="11" t="s">
        <v>260</v>
      </c>
      <c r="B234" s="11"/>
      <c r="C234" s="19" t="s">
        <v>1</v>
      </c>
      <c r="D234" s="19" t="s">
        <v>2</v>
      </c>
      <c r="E234" s="47">
        <v>1</v>
      </c>
      <c r="F234" s="2" t="s">
        <v>98</v>
      </c>
      <c r="G234" s="49">
        <f>VLOOKUP(C:C,yedekparca!A:D,3,0)</f>
        <v>58.139534883720927</v>
      </c>
      <c r="H234" s="49">
        <f t="shared" si="3"/>
        <v>58.139534883720927</v>
      </c>
    </row>
    <row r="235" spans="1:8" outlineLevel="1" x14ac:dyDescent="0.25">
      <c r="A235" s="11">
        <f>SUBTOTAL(9,A230:A234)</f>
        <v>0</v>
      </c>
      <c r="B235" s="11"/>
      <c r="C235" s="19"/>
      <c r="D235" s="19"/>
      <c r="E235" s="47"/>
      <c r="F235" s="2"/>
      <c r="G235" s="50" t="s">
        <v>304</v>
      </c>
      <c r="H235" s="49">
        <f>SUBTOTAL(9,H230:H234)</f>
        <v>176.88013488372093</v>
      </c>
    </row>
    <row r="236" spans="1:8" outlineLevel="2" x14ac:dyDescent="0.25">
      <c r="A236" s="11" t="s">
        <v>261</v>
      </c>
      <c r="B236" s="11"/>
      <c r="C236" s="10" t="s">
        <v>61</v>
      </c>
      <c r="D236" s="11" t="s">
        <v>49</v>
      </c>
      <c r="E236" s="47">
        <v>1</v>
      </c>
      <c r="F236" s="2" t="s">
        <v>98</v>
      </c>
      <c r="G236" s="49">
        <f>VLOOKUP(C:C,yedekparca!A:D,3,0)</f>
        <v>55.682144999999998</v>
      </c>
      <c r="H236" s="49">
        <f t="shared" si="3"/>
        <v>55.682144999999998</v>
      </c>
    </row>
    <row r="237" spans="1:8" outlineLevel="2" x14ac:dyDescent="0.25">
      <c r="A237" s="11" t="s">
        <v>261</v>
      </c>
      <c r="B237" s="11"/>
      <c r="C237" s="11" t="s">
        <v>104</v>
      </c>
      <c r="D237" s="11" t="s">
        <v>27</v>
      </c>
      <c r="E237" s="47">
        <v>12</v>
      </c>
      <c r="F237" s="11" t="s">
        <v>103</v>
      </c>
      <c r="G237" s="49">
        <f>VLOOKUP(C:C,yedekparca!A:D,3,0)</f>
        <v>4.7906976744186043</v>
      </c>
      <c r="H237" s="49">
        <f t="shared" si="3"/>
        <v>57.488372093023251</v>
      </c>
    </row>
    <row r="238" spans="1:8" outlineLevel="2" x14ac:dyDescent="0.25">
      <c r="A238" s="11" t="s">
        <v>261</v>
      </c>
      <c r="B238" s="11"/>
      <c r="C238" s="10" t="s">
        <v>60</v>
      </c>
      <c r="D238" s="11" t="s">
        <v>59</v>
      </c>
      <c r="E238" s="47">
        <v>1</v>
      </c>
      <c r="F238" s="2" t="s">
        <v>98</v>
      </c>
      <c r="G238" s="49">
        <f>VLOOKUP(C:C,yedekparca!A:D,3,0)</f>
        <v>61.313327999999991</v>
      </c>
      <c r="H238" s="49">
        <f t="shared" si="3"/>
        <v>61.313327999999991</v>
      </c>
    </row>
    <row r="239" spans="1:8" outlineLevel="2" x14ac:dyDescent="0.25">
      <c r="A239" s="11" t="s">
        <v>261</v>
      </c>
      <c r="B239" s="11"/>
      <c r="C239" s="17" t="s">
        <v>44</v>
      </c>
      <c r="D239" s="11" t="s">
        <v>45</v>
      </c>
      <c r="E239" s="47">
        <v>1</v>
      </c>
      <c r="F239" s="2" t="s">
        <v>98</v>
      </c>
      <c r="G239" s="49">
        <f>VLOOKUP(C:C,yedekparca!A:D,3,0)</f>
        <v>55.376297999999998</v>
      </c>
      <c r="H239" s="49">
        <f t="shared" si="3"/>
        <v>55.376297999999998</v>
      </c>
    </row>
    <row r="240" spans="1:8" outlineLevel="2" x14ac:dyDescent="0.25">
      <c r="A240" s="11" t="s">
        <v>261</v>
      </c>
      <c r="B240" s="11"/>
      <c r="C240" s="17" t="s">
        <v>31</v>
      </c>
      <c r="D240" s="11" t="s">
        <v>32</v>
      </c>
      <c r="E240" s="47">
        <v>1</v>
      </c>
      <c r="F240" s="2" t="s">
        <v>98</v>
      </c>
      <c r="G240" s="49">
        <f>VLOOKUP(C:C,yedekparca!A:D,3,0)</f>
        <v>5.8650659999999997</v>
      </c>
      <c r="H240" s="49">
        <f t="shared" si="3"/>
        <v>5.8650659999999997</v>
      </c>
    </row>
    <row r="241" spans="1:8" outlineLevel="2" x14ac:dyDescent="0.25">
      <c r="A241" s="11" t="s">
        <v>261</v>
      </c>
      <c r="B241" s="11"/>
      <c r="C241" s="10" t="s">
        <v>66</v>
      </c>
      <c r="D241" s="11" t="s">
        <v>64</v>
      </c>
      <c r="E241" s="47">
        <v>1</v>
      </c>
      <c r="F241" s="2" t="s">
        <v>98</v>
      </c>
      <c r="G241" s="49">
        <f>VLOOKUP(C:C,yedekparca!A:D,3,0)</f>
        <v>3.3823079999999996</v>
      </c>
      <c r="H241" s="49">
        <f t="shared" si="3"/>
        <v>3.3823079999999996</v>
      </c>
    </row>
    <row r="242" spans="1:8" outlineLevel="2" x14ac:dyDescent="0.25">
      <c r="A242" s="11" t="s">
        <v>261</v>
      </c>
      <c r="B242" s="11"/>
      <c r="C242" s="11" t="s">
        <v>162</v>
      </c>
      <c r="D242" s="11" t="s">
        <v>113</v>
      </c>
      <c r="E242" s="47">
        <v>1</v>
      </c>
      <c r="F242" s="2" t="s">
        <v>98</v>
      </c>
      <c r="G242" s="49">
        <f>VLOOKUP(C:C,yedekparca!A:D,3,0)</f>
        <v>13.511240999999998</v>
      </c>
      <c r="H242" s="49">
        <f t="shared" si="3"/>
        <v>13.511240999999998</v>
      </c>
    </row>
    <row r="243" spans="1:8" outlineLevel="2" x14ac:dyDescent="0.25">
      <c r="A243" s="11" t="s">
        <v>261</v>
      </c>
      <c r="B243" s="11"/>
      <c r="C243" s="11" t="s">
        <v>94</v>
      </c>
      <c r="D243" s="11" t="s">
        <v>81</v>
      </c>
      <c r="E243" s="47">
        <v>1</v>
      </c>
      <c r="F243" s="2" t="s">
        <v>98</v>
      </c>
      <c r="G243" s="49">
        <f>VLOOKUP(C:C,yedekparca!A:D,3,0)</f>
        <v>40.533723000000002</v>
      </c>
      <c r="H243" s="49">
        <f t="shared" si="3"/>
        <v>40.533723000000002</v>
      </c>
    </row>
    <row r="244" spans="1:8" outlineLevel="2" x14ac:dyDescent="0.25">
      <c r="A244" s="11" t="s">
        <v>261</v>
      </c>
      <c r="B244" s="11"/>
      <c r="C244" s="10" t="s">
        <v>52</v>
      </c>
      <c r="D244" s="11" t="s">
        <v>34</v>
      </c>
      <c r="E244" s="47">
        <v>1</v>
      </c>
      <c r="F244" s="2" t="s">
        <v>98</v>
      </c>
      <c r="G244" s="49">
        <f>VLOOKUP(C:C,yedekparca!A:D,3,0)</f>
        <v>51.886043999999998</v>
      </c>
      <c r="H244" s="49">
        <f t="shared" si="3"/>
        <v>51.886043999999998</v>
      </c>
    </row>
    <row r="245" spans="1:8" outlineLevel="2" x14ac:dyDescent="0.25">
      <c r="A245" s="11" t="s">
        <v>261</v>
      </c>
      <c r="B245" s="11"/>
      <c r="C245" s="10" t="s">
        <v>53</v>
      </c>
      <c r="D245" s="11" t="s">
        <v>37</v>
      </c>
      <c r="E245" s="47">
        <v>1</v>
      </c>
      <c r="F245" s="2" t="s">
        <v>98</v>
      </c>
      <c r="G245" s="49">
        <f>VLOOKUP(C:C,yedekparca!A:D,3,0)</f>
        <v>32.383800000000001</v>
      </c>
      <c r="H245" s="49">
        <f t="shared" si="3"/>
        <v>32.383800000000001</v>
      </c>
    </row>
    <row r="246" spans="1:8" outlineLevel="2" x14ac:dyDescent="0.25">
      <c r="A246" s="11" t="s">
        <v>261</v>
      </c>
      <c r="B246" s="11"/>
      <c r="C246" s="19" t="s">
        <v>3</v>
      </c>
      <c r="D246" s="19" t="s">
        <v>4</v>
      </c>
      <c r="E246" s="47">
        <v>1</v>
      </c>
      <c r="F246" s="2" t="s">
        <v>98</v>
      </c>
      <c r="G246" s="49">
        <f>VLOOKUP(C:C,yedekparca!A:D,3,0)</f>
        <v>93.023255813953483</v>
      </c>
      <c r="H246" s="49">
        <f t="shared" si="3"/>
        <v>93.023255813953483</v>
      </c>
    </row>
    <row r="247" spans="1:8" outlineLevel="1" x14ac:dyDescent="0.25">
      <c r="A247" s="11">
        <f>SUBTOTAL(9,A236:A246)</f>
        <v>0</v>
      </c>
      <c r="B247" s="11"/>
      <c r="C247" s="19"/>
      <c r="D247" s="19"/>
      <c r="E247" s="47"/>
      <c r="F247" s="2"/>
      <c r="G247" s="50" t="s">
        <v>305</v>
      </c>
      <c r="H247" s="49">
        <f>SUBTOTAL(9,H236:H246)</f>
        <v>470.44558090697677</v>
      </c>
    </row>
    <row r="248" spans="1:8" outlineLevel="2" x14ac:dyDescent="0.25">
      <c r="A248" s="11" t="s">
        <v>262</v>
      </c>
      <c r="B248" s="11"/>
      <c r="C248" s="10" t="s">
        <v>61</v>
      </c>
      <c r="D248" s="11" t="s">
        <v>49</v>
      </c>
      <c r="E248" s="47">
        <v>1</v>
      </c>
      <c r="F248" s="2" t="s">
        <v>98</v>
      </c>
      <c r="G248" s="49">
        <f>VLOOKUP(C:C,yedekparca!A:D,3,0)</f>
        <v>55.682144999999998</v>
      </c>
      <c r="H248" s="49">
        <f t="shared" si="3"/>
        <v>55.682144999999998</v>
      </c>
    </row>
    <row r="249" spans="1:8" outlineLevel="2" x14ac:dyDescent="0.25">
      <c r="A249" s="11" t="s">
        <v>262</v>
      </c>
      <c r="B249" s="11"/>
      <c r="C249" s="11" t="s">
        <v>104</v>
      </c>
      <c r="D249" s="11" t="s">
        <v>27</v>
      </c>
      <c r="E249" s="47">
        <v>12</v>
      </c>
      <c r="F249" s="11" t="s">
        <v>103</v>
      </c>
      <c r="G249" s="49">
        <f>VLOOKUP(C:C,yedekparca!A:D,3,0)</f>
        <v>4.7906976744186043</v>
      </c>
      <c r="H249" s="49">
        <f t="shared" si="3"/>
        <v>57.488372093023251</v>
      </c>
    </row>
    <row r="250" spans="1:8" outlineLevel="2" x14ac:dyDescent="0.25">
      <c r="A250" s="11" t="s">
        <v>262</v>
      </c>
      <c r="B250" s="11"/>
      <c r="C250" s="10" t="s">
        <v>66</v>
      </c>
      <c r="D250" s="11" t="s">
        <v>64</v>
      </c>
      <c r="E250" s="47">
        <v>1</v>
      </c>
      <c r="F250" s="2" t="s">
        <v>98</v>
      </c>
      <c r="G250" s="49">
        <f>VLOOKUP(C:C,yedekparca!A:D,3,0)</f>
        <v>3.3823079999999996</v>
      </c>
      <c r="H250" s="49">
        <f t="shared" si="3"/>
        <v>3.3823079999999996</v>
      </c>
    </row>
    <row r="251" spans="1:8" outlineLevel="2" x14ac:dyDescent="0.25">
      <c r="A251" s="11" t="s">
        <v>262</v>
      </c>
      <c r="B251" s="11"/>
      <c r="C251" s="10" t="s">
        <v>60</v>
      </c>
      <c r="D251" s="11" t="s">
        <v>106</v>
      </c>
      <c r="E251" s="47">
        <v>1</v>
      </c>
      <c r="F251" s="2" t="s">
        <v>98</v>
      </c>
      <c r="G251" s="49">
        <f>VLOOKUP(C:C,yedekparca!A:D,3,0)</f>
        <v>61.313327999999991</v>
      </c>
      <c r="H251" s="49">
        <f t="shared" si="3"/>
        <v>61.313327999999991</v>
      </c>
    </row>
    <row r="252" spans="1:8" outlineLevel="2" x14ac:dyDescent="0.25">
      <c r="A252" s="11" t="s">
        <v>262</v>
      </c>
      <c r="B252" s="11"/>
      <c r="C252" s="17" t="s">
        <v>44</v>
      </c>
      <c r="D252" s="11" t="s">
        <v>46</v>
      </c>
      <c r="E252" s="47">
        <v>1</v>
      </c>
      <c r="F252" s="2" t="s">
        <v>98</v>
      </c>
      <c r="G252" s="49">
        <f>VLOOKUP(C:C,yedekparca!A:D,3,0)</f>
        <v>55.376297999999998</v>
      </c>
      <c r="H252" s="49">
        <f t="shared" si="3"/>
        <v>55.376297999999998</v>
      </c>
    </row>
    <row r="253" spans="1:8" outlineLevel="2" x14ac:dyDescent="0.25">
      <c r="A253" s="11" t="s">
        <v>262</v>
      </c>
      <c r="B253" s="11"/>
      <c r="C253" s="17" t="s">
        <v>31</v>
      </c>
      <c r="D253" s="11" t="s">
        <v>32</v>
      </c>
      <c r="E253" s="47">
        <v>1</v>
      </c>
      <c r="F253" s="2" t="s">
        <v>98</v>
      </c>
      <c r="G253" s="49">
        <f>VLOOKUP(C:C,yedekparca!A:D,3,0)</f>
        <v>5.8650659999999997</v>
      </c>
      <c r="H253" s="49">
        <f t="shared" si="3"/>
        <v>5.8650659999999997</v>
      </c>
    </row>
    <row r="254" spans="1:8" outlineLevel="2" x14ac:dyDescent="0.25">
      <c r="A254" s="11" t="s">
        <v>262</v>
      </c>
      <c r="B254" s="11"/>
      <c r="C254" s="11" t="s">
        <v>162</v>
      </c>
      <c r="D254" s="11" t="s">
        <v>81</v>
      </c>
      <c r="E254" s="47">
        <v>1</v>
      </c>
      <c r="F254" s="2" t="s">
        <v>98</v>
      </c>
      <c r="G254" s="49">
        <f>VLOOKUP(C:C,yedekparca!A:D,3,0)</f>
        <v>13.511240999999998</v>
      </c>
      <c r="H254" s="49">
        <f t="shared" si="3"/>
        <v>13.511240999999998</v>
      </c>
    </row>
    <row r="255" spans="1:8" outlineLevel="2" x14ac:dyDescent="0.25">
      <c r="A255" s="11" t="s">
        <v>262</v>
      </c>
      <c r="B255" s="11"/>
      <c r="C255" s="11" t="s">
        <v>94</v>
      </c>
      <c r="D255" s="11" t="s">
        <v>81</v>
      </c>
      <c r="E255" s="47">
        <v>1</v>
      </c>
      <c r="F255" s="2" t="s">
        <v>98</v>
      </c>
      <c r="G255" s="49">
        <f>VLOOKUP(C:C,yedekparca!A:D,3,0)</f>
        <v>40.533723000000002</v>
      </c>
      <c r="H255" s="49">
        <f t="shared" si="3"/>
        <v>40.533723000000002</v>
      </c>
    </row>
    <row r="256" spans="1:8" outlineLevel="2" x14ac:dyDescent="0.25">
      <c r="A256" s="11" t="s">
        <v>262</v>
      </c>
      <c r="B256" s="11"/>
      <c r="C256" s="10" t="s">
        <v>52</v>
      </c>
      <c r="D256" s="11" t="s">
        <v>34</v>
      </c>
      <c r="E256" s="47">
        <v>1</v>
      </c>
      <c r="F256" s="2" t="s">
        <v>98</v>
      </c>
      <c r="G256" s="49">
        <f>VLOOKUP(C:C,yedekparca!A:D,3,0)</f>
        <v>51.886043999999998</v>
      </c>
      <c r="H256" s="49">
        <f t="shared" si="3"/>
        <v>51.886043999999998</v>
      </c>
    </row>
    <row r="257" spans="1:8" outlineLevel="2" x14ac:dyDescent="0.25">
      <c r="A257" s="11" t="s">
        <v>262</v>
      </c>
      <c r="B257" s="11"/>
      <c r="C257" s="10" t="s">
        <v>53</v>
      </c>
      <c r="D257" s="11" t="s">
        <v>37</v>
      </c>
      <c r="E257" s="47">
        <v>1</v>
      </c>
      <c r="F257" s="2" t="s">
        <v>98</v>
      </c>
      <c r="G257" s="49">
        <f>VLOOKUP(C:C,yedekparca!A:D,3,0)</f>
        <v>32.383800000000001</v>
      </c>
      <c r="H257" s="49">
        <f t="shared" si="3"/>
        <v>32.383800000000001</v>
      </c>
    </row>
    <row r="258" spans="1:8" outlineLevel="2" x14ac:dyDescent="0.25">
      <c r="A258" s="11" t="s">
        <v>262</v>
      </c>
      <c r="B258" s="11"/>
      <c r="C258" s="10" t="s">
        <v>97</v>
      </c>
      <c r="D258" s="11" t="s">
        <v>86</v>
      </c>
      <c r="E258" s="47">
        <v>1</v>
      </c>
      <c r="F258" s="2" t="s">
        <v>98</v>
      </c>
      <c r="G258" s="49">
        <f>VLOOKUP(C:C,yedekparca!A:D,3,0)</f>
        <v>42.62</v>
      </c>
      <c r="H258" s="49">
        <f t="shared" si="3"/>
        <v>42.62</v>
      </c>
    </row>
    <row r="259" spans="1:8" outlineLevel="2" x14ac:dyDescent="0.25">
      <c r="A259" s="11" t="s">
        <v>262</v>
      </c>
      <c r="B259" s="11"/>
      <c r="C259" s="11" t="s">
        <v>28</v>
      </c>
      <c r="D259" s="11" t="s">
        <v>107</v>
      </c>
      <c r="E259" s="47">
        <v>22</v>
      </c>
      <c r="F259" s="11" t="s">
        <v>103</v>
      </c>
      <c r="G259" s="49">
        <f>VLOOKUP(C:C,yedekparca!A:D,3,0)</f>
        <v>3.2558139534883721</v>
      </c>
      <c r="H259" s="49">
        <f t="shared" si="3"/>
        <v>71.627906976744185</v>
      </c>
    </row>
    <row r="260" spans="1:8" outlineLevel="2" x14ac:dyDescent="0.25">
      <c r="A260" s="11" t="s">
        <v>262</v>
      </c>
      <c r="B260" s="11"/>
      <c r="C260" s="11" t="s">
        <v>28</v>
      </c>
      <c r="D260" s="11" t="s">
        <v>16</v>
      </c>
      <c r="E260" s="47">
        <v>20</v>
      </c>
      <c r="F260" s="11" t="s">
        <v>103</v>
      </c>
      <c r="G260" s="49">
        <f>VLOOKUP(C:C,yedekparca!A:D,3,0)</f>
        <v>3.2558139534883721</v>
      </c>
      <c r="H260" s="49">
        <f t="shared" si="3"/>
        <v>65.116279069767444</v>
      </c>
    </row>
    <row r="261" spans="1:8" outlineLevel="2" x14ac:dyDescent="0.25">
      <c r="A261" s="11" t="s">
        <v>262</v>
      </c>
      <c r="B261" s="11"/>
      <c r="C261" s="11" t="s">
        <v>23</v>
      </c>
      <c r="D261" s="11" t="s">
        <v>101</v>
      </c>
      <c r="E261" s="47">
        <v>13</v>
      </c>
      <c r="F261" s="11" t="s">
        <v>103</v>
      </c>
      <c r="G261" s="49">
        <f>VLOOKUP(C:C,yedekparca!A:D,3,0)</f>
        <v>3.6976744186046511</v>
      </c>
      <c r="H261" s="49">
        <f t="shared" si="3"/>
        <v>48.069767441860463</v>
      </c>
    </row>
    <row r="262" spans="1:8" outlineLevel="2" x14ac:dyDescent="0.25">
      <c r="A262" s="11" t="s">
        <v>262</v>
      </c>
      <c r="B262" s="11"/>
      <c r="C262" s="10" t="s">
        <v>79</v>
      </c>
      <c r="D262" s="11" t="s">
        <v>70</v>
      </c>
      <c r="E262" s="47">
        <v>1</v>
      </c>
      <c r="F262" s="2" t="s">
        <v>98</v>
      </c>
      <c r="G262" s="49">
        <f>VLOOKUP(C:C,yedekparca!A:D,3,0)</f>
        <v>87.544205999999988</v>
      </c>
      <c r="H262" s="49">
        <f t="shared" si="3"/>
        <v>87.544205999999988</v>
      </c>
    </row>
    <row r="263" spans="1:8" outlineLevel="2" x14ac:dyDescent="0.25">
      <c r="A263" s="11" t="s">
        <v>262</v>
      </c>
      <c r="B263" s="11"/>
      <c r="C263" s="15" t="s">
        <v>84</v>
      </c>
      <c r="D263" s="11" t="s">
        <v>68</v>
      </c>
      <c r="E263" s="47">
        <v>1</v>
      </c>
      <c r="F263" s="2" t="s">
        <v>98</v>
      </c>
      <c r="G263" s="49">
        <f>VLOOKUP(C:C,yedekparca!A:D,3,0)</f>
        <v>26.680653</v>
      </c>
      <c r="H263" s="49">
        <f t="shared" si="3"/>
        <v>26.680653</v>
      </c>
    </row>
    <row r="264" spans="1:8" outlineLevel="2" x14ac:dyDescent="0.25">
      <c r="A264" s="11" t="s">
        <v>262</v>
      </c>
      <c r="B264" s="11"/>
      <c r="C264" s="19" t="s">
        <v>5</v>
      </c>
      <c r="D264" s="19" t="s">
        <v>6</v>
      </c>
      <c r="E264" s="47">
        <v>1</v>
      </c>
      <c r="F264" s="2" t="s">
        <v>98</v>
      </c>
      <c r="G264" s="49">
        <f>VLOOKUP(C:C,yedekparca!A:D,3,0)</f>
        <v>139.53488372093022</v>
      </c>
      <c r="H264" s="49">
        <f t="shared" si="3"/>
        <v>139.53488372093022</v>
      </c>
    </row>
    <row r="265" spans="1:8" outlineLevel="1" x14ac:dyDescent="0.25">
      <c r="A265" s="11">
        <f>SUBTOTAL(9,A248:A264)</f>
        <v>0</v>
      </c>
      <c r="B265" s="11"/>
      <c r="C265" s="19"/>
      <c r="D265" s="19"/>
      <c r="E265" s="47"/>
      <c r="F265" s="2"/>
      <c r="G265" s="50" t="s">
        <v>306</v>
      </c>
      <c r="H265" s="49">
        <f>SUBTOTAL(9,H248:H264)</f>
        <v>858.61602130232563</v>
      </c>
    </row>
    <row r="266" spans="1:8" outlineLevel="2" x14ac:dyDescent="0.25">
      <c r="A266" s="11" t="s">
        <v>263</v>
      </c>
      <c r="B266" s="11"/>
      <c r="C266" s="10" t="s">
        <v>61</v>
      </c>
      <c r="D266" s="11" t="s">
        <v>49</v>
      </c>
      <c r="E266" s="47">
        <v>1</v>
      </c>
      <c r="F266" s="2" t="s">
        <v>98</v>
      </c>
      <c r="G266" s="49">
        <f>VLOOKUP(C:C,yedekparca!A:D,3,0)</f>
        <v>55.682144999999998</v>
      </c>
      <c r="H266" s="49">
        <f t="shared" si="3"/>
        <v>55.682144999999998</v>
      </c>
    </row>
    <row r="267" spans="1:8" outlineLevel="2" x14ac:dyDescent="0.25">
      <c r="A267" s="11" t="s">
        <v>263</v>
      </c>
      <c r="B267" s="11"/>
      <c r="C267" s="11" t="s">
        <v>104</v>
      </c>
      <c r="D267" s="11" t="s">
        <v>27</v>
      </c>
      <c r="E267" s="47">
        <v>12</v>
      </c>
      <c r="F267" s="11" t="s">
        <v>103</v>
      </c>
      <c r="G267" s="49">
        <f>VLOOKUP(C:C,yedekparca!A:D,3,0)</f>
        <v>4.7906976744186043</v>
      </c>
      <c r="H267" s="49">
        <f t="shared" si="3"/>
        <v>57.488372093023251</v>
      </c>
    </row>
    <row r="268" spans="1:8" outlineLevel="2" x14ac:dyDescent="0.25">
      <c r="A268" s="11" t="s">
        <v>263</v>
      </c>
      <c r="B268" s="11"/>
      <c r="C268" s="10" t="s">
        <v>66</v>
      </c>
      <c r="D268" s="11" t="s">
        <v>64</v>
      </c>
      <c r="E268" s="47">
        <v>1</v>
      </c>
      <c r="F268" s="2" t="s">
        <v>98</v>
      </c>
      <c r="G268" s="49">
        <f>VLOOKUP(C:C,yedekparca!A:D,3,0)</f>
        <v>3.3823079999999996</v>
      </c>
      <c r="H268" s="49">
        <f t="shared" si="3"/>
        <v>3.3823079999999996</v>
      </c>
    </row>
    <row r="269" spans="1:8" outlineLevel="2" x14ac:dyDescent="0.25">
      <c r="A269" s="11" t="s">
        <v>263</v>
      </c>
      <c r="B269" s="11"/>
      <c r="C269" s="10" t="s">
        <v>60</v>
      </c>
      <c r="D269" s="11" t="s">
        <v>106</v>
      </c>
      <c r="E269" s="47">
        <v>1</v>
      </c>
      <c r="F269" s="2" t="s">
        <v>98</v>
      </c>
      <c r="G269" s="49">
        <f>VLOOKUP(C:C,yedekparca!A:D,3,0)</f>
        <v>61.313327999999991</v>
      </c>
      <c r="H269" s="49">
        <f t="shared" si="3"/>
        <v>61.313327999999991</v>
      </c>
    </row>
    <row r="270" spans="1:8" outlineLevel="2" x14ac:dyDescent="0.25">
      <c r="A270" s="11" t="s">
        <v>263</v>
      </c>
      <c r="B270" s="11"/>
      <c r="C270" s="17" t="s">
        <v>44</v>
      </c>
      <c r="D270" s="11" t="s">
        <v>46</v>
      </c>
      <c r="E270" s="47">
        <v>1</v>
      </c>
      <c r="F270" s="2" t="s">
        <v>98</v>
      </c>
      <c r="G270" s="49">
        <f>VLOOKUP(C:C,yedekparca!A:D,3,0)</f>
        <v>55.376297999999998</v>
      </c>
      <c r="H270" s="49">
        <f t="shared" si="3"/>
        <v>55.376297999999998</v>
      </c>
    </row>
    <row r="271" spans="1:8" outlineLevel="2" x14ac:dyDescent="0.25">
      <c r="A271" s="11" t="s">
        <v>263</v>
      </c>
      <c r="B271" s="11"/>
      <c r="C271" s="17" t="s">
        <v>31</v>
      </c>
      <c r="D271" s="11" t="s">
        <v>32</v>
      </c>
      <c r="E271" s="47">
        <v>1</v>
      </c>
      <c r="F271" s="2" t="s">
        <v>98</v>
      </c>
      <c r="G271" s="49">
        <f>VLOOKUP(C:C,yedekparca!A:D,3,0)</f>
        <v>5.8650659999999997</v>
      </c>
      <c r="H271" s="49">
        <f t="shared" si="3"/>
        <v>5.8650659999999997</v>
      </c>
    </row>
    <row r="272" spans="1:8" outlineLevel="2" x14ac:dyDescent="0.25">
      <c r="A272" s="11" t="s">
        <v>263</v>
      </c>
      <c r="B272" s="11"/>
      <c r="C272" s="11" t="s">
        <v>162</v>
      </c>
      <c r="D272" s="11" t="s">
        <v>81</v>
      </c>
      <c r="E272" s="47">
        <v>1</v>
      </c>
      <c r="F272" s="2" t="s">
        <v>98</v>
      </c>
      <c r="G272" s="49">
        <f>VLOOKUP(C:C,yedekparca!A:D,3,0)</f>
        <v>13.511240999999998</v>
      </c>
      <c r="H272" s="49">
        <f t="shared" si="3"/>
        <v>13.511240999999998</v>
      </c>
    </row>
    <row r="273" spans="1:8" outlineLevel="2" x14ac:dyDescent="0.25">
      <c r="A273" s="11" t="s">
        <v>263</v>
      </c>
      <c r="B273" s="11"/>
      <c r="C273" s="11" t="s">
        <v>94</v>
      </c>
      <c r="D273" s="11" t="s">
        <v>81</v>
      </c>
      <c r="E273" s="47">
        <v>1</v>
      </c>
      <c r="F273" s="2" t="s">
        <v>98</v>
      </c>
      <c r="G273" s="49">
        <f>VLOOKUP(C:C,yedekparca!A:D,3,0)</f>
        <v>40.533723000000002</v>
      </c>
      <c r="H273" s="49">
        <f t="shared" si="3"/>
        <v>40.533723000000002</v>
      </c>
    </row>
    <row r="274" spans="1:8" outlineLevel="2" x14ac:dyDescent="0.25">
      <c r="A274" s="11" t="s">
        <v>263</v>
      </c>
      <c r="B274" s="11"/>
      <c r="C274" s="10" t="s">
        <v>52</v>
      </c>
      <c r="D274" s="11" t="s">
        <v>34</v>
      </c>
      <c r="E274" s="47">
        <v>1</v>
      </c>
      <c r="F274" s="2" t="s">
        <v>98</v>
      </c>
      <c r="G274" s="49">
        <f>VLOOKUP(C:C,yedekparca!A:D,3,0)</f>
        <v>51.886043999999998</v>
      </c>
      <c r="H274" s="49">
        <f t="shared" si="3"/>
        <v>51.886043999999998</v>
      </c>
    </row>
    <row r="275" spans="1:8" outlineLevel="2" x14ac:dyDescent="0.25">
      <c r="A275" s="11" t="s">
        <v>263</v>
      </c>
      <c r="B275" s="11"/>
      <c r="C275" s="10" t="s">
        <v>53</v>
      </c>
      <c r="D275" s="11" t="s">
        <v>37</v>
      </c>
      <c r="E275" s="47">
        <v>1</v>
      </c>
      <c r="F275" s="2" t="s">
        <v>98</v>
      </c>
      <c r="G275" s="49">
        <f>VLOOKUP(C:C,yedekparca!A:D,3,0)</f>
        <v>32.383800000000001</v>
      </c>
      <c r="H275" s="49">
        <f t="shared" si="3"/>
        <v>32.383800000000001</v>
      </c>
    </row>
    <row r="276" spans="1:8" outlineLevel="2" x14ac:dyDescent="0.25">
      <c r="A276" s="11" t="s">
        <v>263</v>
      </c>
      <c r="B276" s="11"/>
      <c r="C276" s="10" t="s">
        <v>97</v>
      </c>
      <c r="D276" s="11" t="s">
        <v>86</v>
      </c>
      <c r="E276" s="47">
        <v>1</v>
      </c>
      <c r="F276" s="2" t="s">
        <v>98</v>
      </c>
      <c r="G276" s="49">
        <f>VLOOKUP(C:C,yedekparca!A:D,3,0)</f>
        <v>42.62</v>
      </c>
      <c r="H276" s="49">
        <f t="shared" si="3"/>
        <v>42.62</v>
      </c>
    </row>
    <row r="277" spans="1:8" outlineLevel="2" x14ac:dyDescent="0.25">
      <c r="A277" s="11" t="s">
        <v>263</v>
      </c>
      <c r="B277" s="11"/>
      <c r="C277" s="11" t="s">
        <v>28</v>
      </c>
      <c r="D277" s="11" t="s">
        <v>16</v>
      </c>
      <c r="E277" s="47">
        <v>20</v>
      </c>
      <c r="F277" s="11" t="s">
        <v>103</v>
      </c>
      <c r="G277" s="49">
        <f>VLOOKUP(C:C,yedekparca!A:D,3,0)</f>
        <v>3.2558139534883721</v>
      </c>
      <c r="H277" s="49">
        <f t="shared" si="3"/>
        <v>65.116279069767444</v>
      </c>
    </row>
    <row r="278" spans="1:8" outlineLevel="2" x14ac:dyDescent="0.25">
      <c r="A278" s="11" t="s">
        <v>263</v>
      </c>
      <c r="B278" s="11"/>
      <c r="C278" s="11" t="s">
        <v>23</v>
      </c>
      <c r="D278" s="11" t="s">
        <v>101</v>
      </c>
      <c r="E278" s="47">
        <v>13</v>
      </c>
      <c r="F278" s="11" t="s">
        <v>103</v>
      </c>
      <c r="G278" s="49">
        <f>VLOOKUP(C:C,yedekparca!A:D,3,0)</f>
        <v>3.6976744186046511</v>
      </c>
      <c r="H278" s="49">
        <f t="shared" si="3"/>
        <v>48.069767441860463</v>
      </c>
    </row>
    <row r="279" spans="1:8" outlineLevel="2" x14ac:dyDescent="0.25">
      <c r="A279" s="11" t="s">
        <v>263</v>
      </c>
      <c r="B279" s="11"/>
      <c r="C279" s="11" t="s">
        <v>28</v>
      </c>
      <c r="D279" s="11" t="s">
        <v>107</v>
      </c>
      <c r="E279" s="47">
        <v>22</v>
      </c>
      <c r="F279" s="11" t="s">
        <v>103</v>
      </c>
      <c r="G279" s="49">
        <f>VLOOKUP(C:C,yedekparca!A:D,3,0)</f>
        <v>3.2558139534883721</v>
      </c>
      <c r="H279" s="49">
        <f t="shared" si="3"/>
        <v>71.627906976744185</v>
      </c>
    </row>
    <row r="280" spans="1:8" outlineLevel="2" x14ac:dyDescent="0.25">
      <c r="A280" s="11" t="s">
        <v>263</v>
      </c>
      <c r="B280" s="11"/>
      <c r="C280" s="10" t="s">
        <v>79</v>
      </c>
      <c r="D280" s="11" t="s">
        <v>70</v>
      </c>
      <c r="E280" s="47">
        <v>1</v>
      </c>
      <c r="F280" s="2" t="s">
        <v>98</v>
      </c>
      <c r="G280" s="49">
        <f>VLOOKUP(C:C,yedekparca!A:D,3,0)</f>
        <v>87.544205999999988</v>
      </c>
      <c r="H280" s="49">
        <f t="shared" si="3"/>
        <v>87.544205999999988</v>
      </c>
    </row>
    <row r="281" spans="1:8" outlineLevel="2" x14ac:dyDescent="0.25">
      <c r="A281" s="11" t="s">
        <v>263</v>
      </c>
      <c r="B281" s="11"/>
      <c r="C281" s="15" t="s">
        <v>84</v>
      </c>
      <c r="D281" s="11" t="s">
        <v>68</v>
      </c>
      <c r="E281" s="47">
        <v>1</v>
      </c>
      <c r="F281" s="2" t="s">
        <v>98</v>
      </c>
      <c r="G281" s="49">
        <f>VLOOKUP(C:C,yedekparca!A:D,3,0)</f>
        <v>26.680653</v>
      </c>
      <c r="H281" s="49">
        <f t="shared" si="3"/>
        <v>26.680653</v>
      </c>
    </row>
    <row r="282" spans="1:8" outlineLevel="2" x14ac:dyDescent="0.25">
      <c r="A282" s="11" t="s">
        <v>263</v>
      </c>
      <c r="B282" s="11"/>
      <c r="C282" s="11" t="s">
        <v>19</v>
      </c>
      <c r="D282" s="11" t="s">
        <v>20</v>
      </c>
      <c r="E282" s="47">
        <v>125</v>
      </c>
      <c r="F282" s="11" t="s">
        <v>103</v>
      </c>
      <c r="G282" s="49">
        <f>VLOOKUP(C:C,yedekparca!A:D,3,0)</f>
        <v>2.6911627906976743</v>
      </c>
      <c r="H282" s="49">
        <f t="shared" si="3"/>
        <v>336.39534883720927</v>
      </c>
    </row>
    <row r="283" spans="1:8" outlineLevel="2" x14ac:dyDescent="0.25">
      <c r="A283" s="11" t="s">
        <v>263</v>
      </c>
      <c r="B283" s="11"/>
      <c r="C283" s="10" t="s">
        <v>74</v>
      </c>
      <c r="D283" s="11" t="s">
        <v>105</v>
      </c>
      <c r="E283" s="47">
        <v>1</v>
      </c>
      <c r="F283" s="2" t="s">
        <v>98</v>
      </c>
      <c r="G283" s="49">
        <f>VLOOKUP(C:C,yedekparca!A:D,3,0)</f>
        <v>129.966984</v>
      </c>
      <c r="H283" s="49">
        <f t="shared" ref="H283:H353" si="4">E283*G283</f>
        <v>129.966984</v>
      </c>
    </row>
    <row r="284" spans="1:8" outlineLevel="2" x14ac:dyDescent="0.25">
      <c r="A284" s="11" t="s">
        <v>263</v>
      </c>
      <c r="B284" s="11"/>
      <c r="C284" s="19" t="s">
        <v>5</v>
      </c>
      <c r="D284" s="19" t="s">
        <v>6</v>
      </c>
      <c r="E284" s="47">
        <v>1</v>
      </c>
      <c r="F284" s="2" t="s">
        <v>98</v>
      </c>
      <c r="G284" s="49">
        <f>VLOOKUP(C:C,yedekparca!A:D,3,0)</f>
        <v>139.53488372093022</v>
      </c>
      <c r="H284" s="49">
        <f t="shared" si="4"/>
        <v>139.53488372093022</v>
      </c>
    </row>
    <row r="285" spans="1:8" outlineLevel="1" x14ac:dyDescent="0.25">
      <c r="A285" s="11">
        <f>SUBTOTAL(9,A266:A284)</f>
        <v>0</v>
      </c>
      <c r="B285" s="11"/>
      <c r="C285" s="19"/>
      <c r="D285" s="19"/>
      <c r="E285" s="47"/>
      <c r="F285" s="2"/>
      <c r="G285" s="50" t="s">
        <v>307</v>
      </c>
      <c r="H285" s="49">
        <f>SUBTOTAL(9,H266:H284)</f>
        <v>1324.978354139535</v>
      </c>
    </row>
    <row r="286" spans="1:8" outlineLevel="2" x14ac:dyDescent="0.25">
      <c r="A286" s="2" t="s">
        <v>264</v>
      </c>
      <c r="B286" s="2"/>
      <c r="C286" s="12" t="s">
        <v>51</v>
      </c>
      <c r="D286" s="2" t="s">
        <v>49</v>
      </c>
      <c r="E286" s="45">
        <v>1</v>
      </c>
      <c r="F286" s="21" t="s">
        <v>98</v>
      </c>
      <c r="G286" s="49">
        <f>VLOOKUP(C:C,yedekparca!A:D,3,0)</f>
        <v>27.238374</v>
      </c>
      <c r="H286" s="49">
        <f t="shared" si="4"/>
        <v>27.238374</v>
      </c>
    </row>
    <row r="287" spans="1:8" outlineLevel="2" x14ac:dyDescent="0.25">
      <c r="A287" s="2" t="s">
        <v>264</v>
      </c>
      <c r="B287" s="2"/>
      <c r="C287" s="2" t="s">
        <v>104</v>
      </c>
      <c r="D287" s="2" t="s">
        <v>27</v>
      </c>
      <c r="E287" s="45">
        <v>14.2</v>
      </c>
      <c r="F287" s="2" t="s">
        <v>103</v>
      </c>
      <c r="G287" s="49">
        <f>VLOOKUP(C:C,yedekparca!A:D,3,0)</f>
        <v>4.7906976744186043</v>
      </c>
      <c r="H287" s="49">
        <f t="shared" si="4"/>
        <v>68.027906976744177</v>
      </c>
    </row>
    <row r="288" spans="1:8" outlineLevel="2" x14ac:dyDescent="0.25">
      <c r="A288" s="2" t="s">
        <v>264</v>
      </c>
      <c r="B288" s="2"/>
      <c r="C288" s="12" t="s">
        <v>97</v>
      </c>
      <c r="D288" s="2" t="s">
        <v>86</v>
      </c>
      <c r="E288" s="45">
        <v>1</v>
      </c>
      <c r="F288" s="21" t="s">
        <v>98</v>
      </c>
      <c r="G288" s="49">
        <f>VLOOKUP(C:C,yedekparca!A:D,3,0)</f>
        <v>42.62</v>
      </c>
      <c r="H288" s="49">
        <f t="shared" si="4"/>
        <v>42.62</v>
      </c>
    </row>
    <row r="289" spans="1:8" outlineLevel="2" x14ac:dyDescent="0.25">
      <c r="A289" s="2" t="s">
        <v>264</v>
      </c>
      <c r="B289" s="2"/>
      <c r="C289" s="2" t="s">
        <v>104</v>
      </c>
      <c r="D289" s="2" t="s">
        <v>16</v>
      </c>
      <c r="E289" s="45">
        <v>16</v>
      </c>
      <c r="F289" s="2" t="s">
        <v>103</v>
      </c>
      <c r="G289" s="49">
        <f>VLOOKUP(C:C,yedekparca!A:D,3,0)</f>
        <v>4.7906976744186043</v>
      </c>
      <c r="H289" s="49">
        <f t="shared" si="4"/>
        <v>76.651162790697668</v>
      </c>
    </row>
    <row r="290" spans="1:8" outlineLevel="2" x14ac:dyDescent="0.25">
      <c r="A290" s="2" t="s">
        <v>264</v>
      </c>
      <c r="B290" s="2"/>
      <c r="C290" s="2" t="s">
        <v>23</v>
      </c>
      <c r="D290" s="2" t="s">
        <v>101</v>
      </c>
      <c r="E290" s="45">
        <v>13</v>
      </c>
      <c r="F290" s="2" t="s">
        <v>103</v>
      </c>
      <c r="G290" s="49">
        <f>VLOOKUP(C:C,yedekparca!A:D,3,0)</f>
        <v>3.6976744186046511</v>
      </c>
      <c r="H290" s="49">
        <f t="shared" si="4"/>
        <v>48.069767441860463</v>
      </c>
    </row>
    <row r="291" spans="1:8" outlineLevel="2" x14ac:dyDescent="0.25">
      <c r="A291" s="2" t="s">
        <v>264</v>
      </c>
      <c r="B291" s="2"/>
      <c r="C291" s="3" t="s">
        <v>1</v>
      </c>
      <c r="D291" s="3" t="s">
        <v>2</v>
      </c>
      <c r="E291" s="45">
        <v>1</v>
      </c>
      <c r="F291" s="21" t="s">
        <v>98</v>
      </c>
      <c r="G291" s="49">
        <f>VLOOKUP(C:C,yedekparca!A:D,3,0)</f>
        <v>58.139534883720927</v>
      </c>
      <c r="H291" s="49">
        <f t="shared" si="4"/>
        <v>58.139534883720927</v>
      </c>
    </row>
    <row r="292" spans="1:8" outlineLevel="1" x14ac:dyDescent="0.25">
      <c r="A292" s="2">
        <f>SUBTOTAL(9,A286:A291)</f>
        <v>0</v>
      </c>
      <c r="B292" s="2"/>
      <c r="C292" s="3"/>
      <c r="D292" s="3"/>
      <c r="E292" s="45"/>
      <c r="F292" s="21"/>
      <c r="G292" s="50" t="s">
        <v>308</v>
      </c>
      <c r="H292" s="49">
        <f>SUBTOTAL(9,H286:H291)</f>
        <v>320.74674609302326</v>
      </c>
    </row>
    <row r="293" spans="1:8" outlineLevel="2" x14ac:dyDescent="0.25">
      <c r="A293" s="2" t="s">
        <v>265</v>
      </c>
      <c r="B293" s="2"/>
      <c r="C293" s="12" t="s">
        <v>51</v>
      </c>
      <c r="D293" s="2" t="s">
        <v>49</v>
      </c>
      <c r="E293" s="45">
        <v>1</v>
      </c>
      <c r="F293" s="21" t="s">
        <v>98</v>
      </c>
      <c r="G293" s="49">
        <f>VLOOKUP(C:C,yedekparca!A:D,3,0)</f>
        <v>27.238374</v>
      </c>
      <c r="H293" s="49">
        <f t="shared" si="4"/>
        <v>27.238374</v>
      </c>
    </row>
    <row r="294" spans="1:8" outlineLevel="2" x14ac:dyDescent="0.25">
      <c r="A294" s="2" t="s">
        <v>265</v>
      </c>
      <c r="B294" s="2"/>
      <c r="C294" s="2" t="s">
        <v>104</v>
      </c>
      <c r="D294" s="2" t="s">
        <v>27</v>
      </c>
      <c r="E294" s="45">
        <v>14.2</v>
      </c>
      <c r="F294" s="2" t="s">
        <v>103</v>
      </c>
      <c r="G294" s="49">
        <f>VLOOKUP(C:C,yedekparca!A:D,3,0)</f>
        <v>4.7906976744186043</v>
      </c>
      <c r="H294" s="49">
        <f t="shared" si="4"/>
        <v>68.027906976744177</v>
      </c>
    </row>
    <row r="295" spans="1:8" outlineLevel="2" x14ac:dyDescent="0.25">
      <c r="A295" s="2" t="s">
        <v>265</v>
      </c>
      <c r="B295" s="2"/>
      <c r="C295" s="12" t="s">
        <v>58</v>
      </c>
      <c r="D295" s="2" t="s">
        <v>59</v>
      </c>
      <c r="E295" s="45">
        <v>1</v>
      </c>
      <c r="F295" s="21" t="s">
        <v>98</v>
      </c>
      <c r="G295" s="49">
        <f>VLOOKUP(C:C,yedekparca!A:D,3,0)</f>
        <v>139.50221400000001</v>
      </c>
      <c r="H295" s="49">
        <f t="shared" si="4"/>
        <v>139.50221400000001</v>
      </c>
    </row>
    <row r="296" spans="1:8" outlineLevel="2" x14ac:dyDescent="0.25">
      <c r="A296" s="2" t="s">
        <v>265</v>
      </c>
      <c r="B296" s="2"/>
      <c r="C296" s="13" t="s">
        <v>54</v>
      </c>
      <c r="D296" s="2" t="s">
        <v>45</v>
      </c>
      <c r="E296" s="45">
        <v>1</v>
      </c>
      <c r="F296" s="21" t="s">
        <v>98</v>
      </c>
      <c r="G296" s="49">
        <f>VLOOKUP(C:C,yedekparca!A:D,3,0)</f>
        <v>140.50970999999998</v>
      </c>
      <c r="H296" s="49">
        <f t="shared" si="4"/>
        <v>140.50970999999998</v>
      </c>
    </row>
    <row r="297" spans="1:8" outlineLevel="2" x14ac:dyDescent="0.25">
      <c r="A297" s="2" t="s">
        <v>265</v>
      </c>
      <c r="B297" s="2"/>
      <c r="C297" s="12" t="s">
        <v>66</v>
      </c>
      <c r="D297" s="2" t="s">
        <v>64</v>
      </c>
      <c r="E297" s="45">
        <v>1</v>
      </c>
      <c r="F297" s="21" t="s">
        <v>98</v>
      </c>
      <c r="G297" s="49">
        <f>VLOOKUP(C:C,yedekparca!A:D,3,0)</f>
        <v>3.3823079999999996</v>
      </c>
      <c r="H297" s="49">
        <f t="shared" si="4"/>
        <v>3.3823079999999996</v>
      </c>
    </row>
    <row r="298" spans="1:8" outlineLevel="2" x14ac:dyDescent="0.25">
      <c r="A298" s="2" t="s">
        <v>265</v>
      </c>
      <c r="B298" s="2"/>
      <c r="C298" s="12" t="s">
        <v>40</v>
      </c>
      <c r="D298" s="2" t="s">
        <v>34</v>
      </c>
      <c r="E298" s="45">
        <v>1</v>
      </c>
      <c r="F298" s="21" t="s">
        <v>98</v>
      </c>
      <c r="G298" s="49">
        <f>VLOOKUP(C:C,yedekparca!A:D,3,0)</f>
        <v>93.229361999999995</v>
      </c>
      <c r="H298" s="49">
        <f t="shared" si="4"/>
        <v>93.229361999999995</v>
      </c>
    </row>
    <row r="299" spans="1:8" outlineLevel="2" x14ac:dyDescent="0.25">
      <c r="A299" s="2" t="s">
        <v>265</v>
      </c>
      <c r="B299" s="2"/>
      <c r="C299" s="12" t="s">
        <v>41</v>
      </c>
      <c r="D299" s="2" t="s">
        <v>37</v>
      </c>
      <c r="E299" s="45">
        <v>1</v>
      </c>
      <c r="F299" s="21" t="s">
        <v>98</v>
      </c>
      <c r="G299" s="49">
        <f>VLOOKUP(C:C,yedekparca!A:D,3,0)</f>
        <v>38.284848000000004</v>
      </c>
      <c r="H299" s="49">
        <f t="shared" si="4"/>
        <v>38.284848000000004</v>
      </c>
    </row>
    <row r="300" spans="1:8" outlineLevel="2" x14ac:dyDescent="0.25">
      <c r="A300" s="2" t="s">
        <v>265</v>
      </c>
      <c r="B300" s="2"/>
      <c r="C300" s="3" t="s">
        <v>3</v>
      </c>
      <c r="D300" s="3" t="s">
        <v>4</v>
      </c>
      <c r="E300" s="45">
        <v>1</v>
      </c>
      <c r="F300" s="21" t="s">
        <v>98</v>
      </c>
      <c r="G300" s="49">
        <f>VLOOKUP(C:C,yedekparca!A:D,3,0)</f>
        <v>93.023255813953483</v>
      </c>
      <c r="H300" s="49">
        <f t="shared" si="4"/>
        <v>93.023255813953483</v>
      </c>
    </row>
    <row r="301" spans="1:8" outlineLevel="1" x14ac:dyDescent="0.25">
      <c r="A301" s="2">
        <f>SUBTOTAL(9,A293:A300)</f>
        <v>0</v>
      </c>
      <c r="B301" s="2"/>
      <c r="C301" s="3"/>
      <c r="D301" s="3"/>
      <c r="E301" s="45"/>
      <c r="F301" s="21"/>
      <c r="G301" s="50" t="s">
        <v>309</v>
      </c>
      <c r="H301" s="49">
        <f>SUBTOTAL(9,H293:H300)</f>
        <v>603.19797879069768</v>
      </c>
    </row>
    <row r="302" spans="1:8" outlineLevel="2" x14ac:dyDescent="0.25">
      <c r="A302" s="2" t="s">
        <v>266</v>
      </c>
      <c r="B302" s="2"/>
      <c r="C302" s="12" t="s">
        <v>51</v>
      </c>
      <c r="D302" s="2" t="s">
        <v>49</v>
      </c>
      <c r="E302" s="45">
        <v>1</v>
      </c>
      <c r="F302" s="21" t="s">
        <v>98</v>
      </c>
      <c r="G302" s="49">
        <f>VLOOKUP(C:C,yedekparca!A:D,3,0)</f>
        <v>27.238374</v>
      </c>
      <c r="H302" s="49">
        <f t="shared" si="4"/>
        <v>27.238374</v>
      </c>
    </row>
    <row r="303" spans="1:8" outlineLevel="2" x14ac:dyDescent="0.25">
      <c r="A303" s="2" t="s">
        <v>266</v>
      </c>
      <c r="B303" s="2"/>
      <c r="C303" s="2" t="s">
        <v>104</v>
      </c>
      <c r="D303" s="2" t="s">
        <v>27</v>
      </c>
      <c r="E303" s="45">
        <v>14.2</v>
      </c>
      <c r="F303" s="2" t="s">
        <v>103</v>
      </c>
      <c r="G303" s="49">
        <f>VLOOKUP(C:C,yedekparca!A:D,3,0)</f>
        <v>4.7906976744186043</v>
      </c>
      <c r="H303" s="49">
        <f t="shared" si="4"/>
        <v>68.027906976744177</v>
      </c>
    </row>
    <row r="304" spans="1:8" outlineLevel="2" x14ac:dyDescent="0.25">
      <c r="A304" s="2" t="s">
        <v>266</v>
      </c>
      <c r="B304" s="2"/>
      <c r="C304" s="12" t="s">
        <v>66</v>
      </c>
      <c r="D304" s="2" t="s">
        <v>64</v>
      </c>
      <c r="E304" s="45">
        <v>1</v>
      </c>
      <c r="F304" s="21" t="s">
        <v>98</v>
      </c>
      <c r="G304" s="49">
        <f>VLOOKUP(C:C,yedekparca!A:D,3,0)</f>
        <v>3.3823079999999996</v>
      </c>
      <c r="H304" s="49">
        <f t="shared" si="4"/>
        <v>3.3823079999999996</v>
      </c>
    </row>
    <row r="305" spans="1:8" outlineLevel="2" x14ac:dyDescent="0.25">
      <c r="A305" s="2" t="s">
        <v>266</v>
      </c>
      <c r="B305" s="2"/>
      <c r="C305" s="12" t="s">
        <v>58</v>
      </c>
      <c r="D305" s="2" t="s">
        <v>106</v>
      </c>
      <c r="E305" s="45">
        <v>1</v>
      </c>
      <c r="F305" s="21" t="s">
        <v>98</v>
      </c>
      <c r="G305" s="49">
        <f>VLOOKUP(C:C,yedekparca!A:D,3,0)</f>
        <v>139.50221400000001</v>
      </c>
      <c r="H305" s="49">
        <f t="shared" si="4"/>
        <v>139.50221400000001</v>
      </c>
    </row>
    <row r="306" spans="1:8" outlineLevel="2" x14ac:dyDescent="0.25">
      <c r="A306" s="2" t="s">
        <v>266</v>
      </c>
      <c r="B306" s="2"/>
      <c r="C306" s="13" t="s">
        <v>54</v>
      </c>
      <c r="D306" s="2" t="s">
        <v>46</v>
      </c>
      <c r="E306" s="45">
        <v>1</v>
      </c>
      <c r="F306" s="21" t="s">
        <v>98</v>
      </c>
      <c r="G306" s="49">
        <f>VLOOKUP(C:C,yedekparca!A:D,3,0)</f>
        <v>140.50970999999998</v>
      </c>
      <c r="H306" s="49">
        <f t="shared" si="4"/>
        <v>140.50970999999998</v>
      </c>
    </row>
    <row r="307" spans="1:8" outlineLevel="2" x14ac:dyDescent="0.25">
      <c r="A307" s="2" t="s">
        <v>266</v>
      </c>
      <c r="B307" s="2"/>
      <c r="C307" s="13" t="s">
        <v>42</v>
      </c>
      <c r="D307" s="2" t="s">
        <v>43</v>
      </c>
      <c r="E307" s="45">
        <v>1</v>
      </c>
      <c r="F307" s="21" t="s">
        <v>98</v>
      </c>
      <c r="G307" s="49">
        <f>VLOOKUP(C:C,yedekparca!A:D,3,0)</f>
        <v>14.554718999999999</v>
      </c>
      <c r="H307" s="49">
        <f t="shared" si="4"/>
        <v>14.554718999999999</v>
      </c>
    </row>
    <row r="308" spans="1:8" outlineLevel="2" x14ac:dyDescent="0.25">
      <c r="A308" s="2" t="s">
        <v>266</v>
      </c>
      <c r="B308" s="2"/>
      <c r="C308" s="13" t="s">
        <v>74</v>
      </c>
      <c r="D308" s="2" t="s">
        <v>75</v>
      </c>
      <c r="E308" s="45">
        <v>1</v>
      </c>
      <c r="F308" s="21" t="s">
        <v>98</v>
      </c>
      <c r="G308" s="49">
        <f>VLOOKUP(C:C,yedekparca!A:D,3,0)</f>
        <v>129.966984</v>
      </c>
      <c r="H308" s="49">
        <f t="shared" si="4"/>
        <v>129.966984</v>
      </c>
    </row>
    <row r="309" spans="1:8" outlineLevel="2" x14ac:dyDescent="0.25">
      <c r="A309" s="2" t="s">
        <v>266</v>
      </c>
      <c r="B309" s="2"/>
      <c r="C309" s="14" t="s">
        <v>76</v>
      </c>
      <c r="D309" s="2" t="s">
        <v>32</v>
      </c>
      <c r="E309" s="45">
        <v>1</v>
      </c>
      <c r="F309" s="21" t="s">
        <v>98</v>
      </c>
      <c r="G309" s="49">
        <f>VLOOKUP(C:C,yedekparca!A:D,3,0)</f>
        <v>8.2398779999999991</v>
      </c>
      <c r="H309" s="49">
        <f t="shared" si="4"/>
        <v>8.2398779999999991</v>
      </c>
    </row>
    <row r="310" spans="1:8" outlineLevel="2" x14ac:dyDescent="0.25">
      <c r="A310" s="2" t="s">
        <v>266</v>
      </c>
      <c r="B310" s="2"/>
      <c r="C310" s="2" t="s">
        <v>80</v>
      </c>
      <c r="D310" s="2" t="s">
        <v>81</v>
      </c>
      <c r="E310" s="45">
        <v>1</v>
      </c>
      <c r="F310" s="21" t="s">
        <v>98</v>
      </c>
      <c r="G310" s="49">
        <f>VLOOKUP(C:C,yedekparca!A:D,3,0)</f>
        <v>23.352318</v>
      </c>
      <c r="H310" s="49">
        <f t="shared" si="4"/>
        <v>23.352318</v>
      </c>
    </row>
    <row r="311" spans="1:8" outlineLevel="2" x14ac:dyDescent="0.25">
      <c r="A311" s="2" t="s">
        <v>266</v>
      </c>
      <c r="B311" s="2"/>
      <c r="C311" s="2" t="s">
        <v>95</v>
      </c>
      <c r="D311" s="2" t="s">
        <v>96</v>
      </c>
      <c r="E311" s="45">
        <v>1</v>
      </c>
      <c r="F311" s="21" t="s">
        <v>98</v>
      </c>
      <c r="G311" s="49">
        <f>VLOOKUP(C:C,yedekparca!A:D,3,0)</f>
        <v>51.472251</v>
      </c>
      <c r="H311" s="49">
        <f t="shared" si="4"/>
        <v>51.472251</v>
      </c>
    </row>
    <row r="312" spans="1:8" outlineLevel="2" x14ac:dyDescent="0.25">
      <c r="A312" s="2" t="s">
        <v>266</v>
      </c>
      <c r="B312" s="2"/>
      <c r="C312" s="12" t="s">
        <v>40</v>
      </c>
      <c r="D312" s="2" t="s">
        <v>34</v>
      </c>
      <c r="E312" s="45">
        <v>1</v>
      </c>
      <c r="F312" s="21" t="s">
        <v>98</v>
      </c>
      <c r="G312" s="49">
        <f>VLOOKUP(C:C,yedekparca!A:D,3,0)</f>
        <v>93.229361999999995</v>
      </c>
      <c r="H312" s="49">
        <f t="shared" si="4"/>
        <v>93.229361999999995</v>
      </c>
    </row>
    <row r="313" spans="1:8" outlineLevel="2" x14ac:dyDescent="0.25">
      <c r="A313" s="2" t="s">
        <v>266</v>
      </c>
      <c r="B313" s="2"/>
      <c r="C313" s="12" t="s">
        <v>41</v>
      </c>
      <c r="D313" s="2" t="s">
        <v>37</v>
      </c>
      <c r="E313" s="45">
        <v>1</v>
      </c>
      <c r="F313" s="21" t="s">
        <v>98</v>
      </c>
      <c r="G313" s="49">
        <f>VLOOKUP(C:C,yedekparca!A:D,3,0)</f>
        <v>38.284848000000004</v>
      </c>
      <c r="H313" s="49">
        <f t="shared" si="4"/>
        <v>38.284848000000004</v>
      </c>
    </row>
    <row r="314" spans="1:8" outlineLevel="2" x14ac:dyDescent="0.25">
      <c r="A314" s="2" t="s">
        <v>266</v>
      </c>
      <c r="B314" s="2"/>
      <c r="C314" s="12" t="s">
        <v>97</v>
      </c>
      <c r="D314" s="2" t="s">
        <v>86</v>
      </c>
      <c r="E314" s="45">
        <v>1</v>
      </c>
      <c r="F314" s="21" t="s">
        <v>98</v>
      </c>
      <c r="G314" s="49">
        <f>VLOOKUP(C:C,yedekparca!A:D,3,0)</f>
        <v>42.62</v>
      </c>
      <c r="H314" s="49">
        <f t="shared" si="4"/>
        <v>42.62</v>
      </c>
    </row>
    <row r="315" spans="1:8" outlineLevel="2" x14ac:dyDescent="0.25">
      <c r="A315" s="2" t="s">
        <v>266</v>
      </c>
      <c r="B315" s="2"/>
      <c r="C315" s="2" t="s">
        <v>28</v>
      </c>
      <c r="D315" s="2" t="s">
        <v>107</v>
      </c>
      <c r="E315" s="45">
        <v>22</v>
      </c>
      <c r="F315" s="2" t="s">
        <v>103</v>
      </c>
      <c r="G315" s="49">
        <f>VLOOKUP(C:C,yedekparca!A:D,3,0)</f>
        <v>3.2558139534883721</v>
      </c>
      <c r="H315" s="49">
        <f t="shared" si="4"/>
        <v>71.627906976744185</v>
      </c>
    </row>
    <row r="316" spans="1:8" outlineLevel="2" x14ac:dyDescent="0.25">
      <c r="A316" s="2" t="s">
        <v>266</v>
      </c>
      <c r="B316" s="2"/>
      <c r="C316" s="2" t="s">
        <v>104</v>
      </c>
      <c r="D316" s="2" t="s">
        <v>16</v>
      </c>
      <c r="E316" s="45">
        <v>16</v>
      </c>
      <c r="F316" s="2" t="s">
        <v>103</v>
      </c>
      <c r="G316" s="49">
        <f>VLOOKUP(C:C,yedekparca!A:D,3,0)</f>
        <v>4.7906976744186043</v>
      </c>
      <c r="H316" s="49">
        <f t="shared" si="4"/>
        <v>76.651162790697668</v>
      </c>
    </row>
    <row r="317" spans="1:8" outlineLevel="2" x14ac:dyDescent="0.25">
      <c r="A317" s="2" t="s">
        <v>266</v>
      </c>
      <c r="B317" s="2"/>
      <c r="C317" s="2" t="s">
        <v>23</v>
      </c>
      <c r="D317" s="2" t="s">
        <v>101</v>
      </c>
      <c r="E317" s="45">
        <v>13</v>
      </c>
      <c r="F317" s="2" t="s">
        <v>103</v>
      </c>
      <c r="G317" s="49">
        <f>VLOOKUP(C:C,yedekparca!A:D,3,0)</f>
        <v>3.6976744186046511</v>
      </c>
      <c r="H317" s="49">
        <f t="shared" si="4"/>
        <v>48.069767441860463</v>
      </c>
    </row>
    <row r="318" spans="1:8" outlineLevel="2" x14ac:dyDescent="0.25">
      <c r="A318" s="2" t="s">
        <v>266</v>
      </c>
      <c r="B318" s="2"/>
      <c r="C318" s="12" t="s">
        <v>69</v>
      </c>
      <c r="D318" s="2" t="s">
        <v>70</v>
      </c>
      <c r="E318" s="45">
        <v>1</v>
      </c>
      <c r="F318" s="21" t="s">
        <v>98</v>
      </c>
      <c r="G318" s="49">
        <f>VLOOKUP(C:C,yedekparca!A:D,3,0)</f>
        <v>43.987994999999998</v>
      </c>
      <c r="H318" s="49">
        <f t="shared" si="4"/>
        <v>43.987994999999998</v>
      </c>
    </row>
    <row r="319" spans="1:8" outlineLevel="2" x14ac:dyDescent="0.25">
      <c r="A319" s="2" t="s">
        <v>266</v>
      </c>
      <c r="B319" s="2"/>
      <c r="C319" s="15" t="s">
        <v>67</v>
      </c>
      <c r="D319" s="2" t="s">
        <v>68</v>
      </c>
      <c r="E319" s="45">
        <v>1</v>
      </c>
      <c r="F319" s="21" t="s">
        <v>98</v>
      </c>
      <c r="G319" s="49">
        <f>VLOOKUP(C:C,yedekparca!A:D,3,0)</f>
        <v>26.500743</v>
      </c>
      <c r="H319" s="49">
        <f t="shared" si="4"/>
        <v>26.500743</v>
      </c>
    </row>
    <row r="320" spans="1:8" outlineLevel="2" x14ac:dyDescent="0.25">
      <c r="A320" s="2" t="s">
        <v>266</v>
      </c>
      <c r="B320" s="2"/>
      <c r="C320" s="3" t="s">
        <v>5</v>
      </c>
      <c r="D320" s="3" t="s">
        <v>6</v>
      </c>
      <c r="E320" s="45">
        <v>1</v>
      </c>
      <c r="F320" s="21" t="s">
        <v>98</v>
      </c>
      <c r="G320" s="49">
        <f>VLOOKUP(C:C,yedekparca!A:D,3,0)</f>
        <v>139.53488372093022</v>
      </c>
      <c r="H320" s="49">
        <f t="shared" si="4"/>
        <v>139.53488372093022</v>
      </c>
    </row>
    <row r="321" spans="1:8" outlineLevel="1" x14ac:dyDescent="0.25">
      <c r="A321" s="2">
        <f>SUBTOTAL(9,A302:A320)</f>
        <v>0</v>
      </c>
      <c r="B321" s="2"/>
      <c r="C321" s="3"/>
      <c r="D321" s="3"/>
      <c r="E321" s="45"/>
      <c r="F321" s="21"/>
      <c r="G321" s="50" t="s">
        <v>310</v>
      </c>
      <c r="H321" s="49">
        <f>SUBTOTAL(9,H302:H320)</f>
        <v>1186.7533319069767</v>
      </c>
    </row>
    <row r="322" spans="1:8" outlineLevel="2" x14ac:dyDescent="0.25">
      <c r="A322" s="2" t="s">
        <v>267</v>
      </c>
      <c r="B322" s="2"/>
      <c r="C322" s="12" t="s">
        <v>51</v>
      </c>
      <c r="D322" s="2" t="s">
        <v>49</v>
      </c>
      <c r="E322" s="45">
        <v>1</v>
      </c>
      <c r="F322" s="21" t="s">
        <v>98</v>
      </c>
      <c r="G322" s="49">
        <f>VLOOKUP(C:C,yedekparca!A:D,3,0)</f>
        <v>27.238374</v>
      </c>
      <c r="H322" s="49">
        <f t="shared" si="4"/>
        <v>27.238374</v>
      </c>
    </row>
    <row r="323" spans="1:8" outlineLevel="2" x14ac:dyDescent="0.25">
      <c r="A323" s="2" t="s">
        <v>267</v>
      </c>
      <c r="B323" s="2"/>
      <c r="C323" s="2" t="s">
        <v>104</v>
      </c>
      <c r="D323" s="2" t="s">
        <v>27</v>
      </c>
      <c r="E323" s="45">
        <v>14.2</v>
      </c>
      <c r="F323" s="2" t="s">
        <v>103</v>
      </c>
      <c r="G323" s="49">
        <f>VLOOKUP(C:C,yedekparca!A:D,3,0)</f>
        <v>4.7906976744186043</v>
      </c>
      <c r="H323" s="49">
        <f t="shared" si="4"/>
        <v>68.027906976744177</v>
      </c>
    </row>
    <row r="324" spans="1:8" outlineLevel="2" x14ac:dyDescent="0.25">
      <c r="A324" s="2" t="s">
        <v>267</v>
      </c>
      <c r="B324" s="2"/>
      <c r="C324" s="12" t="s">
        <v>66</v>
      </c>
      <c r="D324" s="2" t="s">
        <v>64</v>
      </c>
      <c r="E324" s="45">
        <v>1</v>
      </c>
      <c r="F324" s="21" t="s">
        <v>98</v>
      </c>
      <c r="G324" s="49">
        <f>VLOOKUP(C:C,yedekparca!A:D,3,0)</f>
        <v>3.3823079999999996</v>
      </c>
      <c r="H324" s="49">
        <f t="shared" si="4"/>
        <v>3.3823079999999996</v>
      </c>
    </row>
    <row r="325" spans="1:8" outlineLevel="2" x14ac:dyDescent="0.25">
      <c r="A325" s="2" t="s">
        <v>267</v>
      </c>
      <c r="B325" s="2"/>
      <c r="C325" s="12" t="s">
        <v>58</v>
      </c>
      <c r="D325" s="2" t="s">
        <v>106</v>
      </c>
      <c r="E325" s="45">
        <v>1</v>
      </c>
      <c r="F325" s="21" t="s">
        <v>98</v>
      </c>
      <c r="G325" s="49">
        <f>VLOOKUP(C:C,yedekparca!A:D,3,0)</f>
        <v>139.50221400000001</v>
      </c>
      <c r="H325" s="49">
        <f t="shared" si="4"/>
        <v>139.50221400000001</v>
      </c>
    </row>
    <row r="326" spans="1:8" outlineLevel="2" x14ac:dyDescent="0.25">
      <c r="A326" s="2" t="s">
        <v>267</v>
      </c>
      <c r="B326" s="2"/>
      <c r="C326" s="13" t="s">
        <v>54</v>
      </c>
      <c r="D326" s="2" t="s">
        <v>46</v>
      </c>
      <c r="E326" s="45">
        <v>1</v>
      </c>
      <c r="F326" s="21" t="s">
        <v>98</v>
      </c>
      <c r="G326" s="49">
        <f>VLOOKUP(C:C,yedekparca!A:D,3,0)</f>
        <v>140.50970999999998</v>
      </c>
      <c r="H326" s="49">
        <f t="shared" si="4"/>
        <v>140.50970999999998</v>
      </c>
    </row>
    <row r="327" spans="1:8" outlineLevel="2" x14ac:dyDescent="0.25">
      <c r="A327" s="2" t="s">
        <v>267</v>
      </c>
      <c r="B327" s="2"/>
      <c r="C327" s="13" t="s">
        <v>42</v>
      </c>
      <c r="D327" s="2" t="s">
        <v>43</v>
      </c>
      <c r="E327" s="45">
        <v>1</v>
      </c>
      <c r="F327" s="21" t="s">
        <v>98</v>
      </c>
      <c r="G327" s="49">
        <f>VLOOKUP(C:C,yedekparca!A:D,3,0)</f>
        <v>14.554718999999999</v>
      </c>
      <c r="H327" s="49">
        <f t="shared" si="4"/>
        <v>14.554718999999999</v>
      </c>
    </row>
    <row r="328" spans="1:8" outlineLevel="2" x14ac:dyDescent="0.25">
      <c r="A328" s="2" t="s">
        <v>267</v>
      </c>
      <c r="B328" s="2"/>
      <c r="C328" s="13" t="s">
        <v>74</v>
      </c>
      <c r="D328" s="2" t="s">
        <v>75</v>
      </c>
      <c r="E328" s="45">
        <v>1</v>
      </c>
      <c r="F328" s="21" t="s">
        <v>98</v>
      </c>
      <c r="G328" s="49">
        <f>VLOOKUP(C:C,yedekparca!A:D,3,0)</f>
        <v>129.966984</v>
      </c>
      <c r="H328" s="49">
        <f t="shared" si="4"/>
        <v>129.966984</v>
      </c>
    </row>
    <row r="329" spans="1:8" outlineLevel="2" x14ac:dyDescent="0.25">
      <c r="A329" s="2" t="s">
        <v>267</v>
      </c>
      <c r="B329" s="2"/>
      <c r="C329" s="14" t="s">
        <v>76</v>
      </c>
      <c r="D329" s="2" t="s">
        <v>32</v>
      </c>
      <c r="E329" s="45">
        <v>1</v>
      </c>
      <c r="F329" s="21" t="s">
        <v>98</v>
      </c>
      <c r="G329" s="49">
        <f>VLOOKUP(C:C,yedekparca!A:D,3,0)</f>
        <v>8.2398779999999991</v>
      </c>
      <c r="H329" s="49">
        <f t="shared" si="4"/>
        <v>8.2398779999999991</v>
      </c>
    </row>
    <row r="330" spans="1:8" outlineLevel="2" x14ac:dyDescent="0.25">
      <c r="A330" s="2" t="s">
        <v>267</v>
      </c>
      <c r="B330" s="2"/>
      <c r="C330" s="2" t="s">
        <v>80</v>
      </c>
      <c r="D330" s="2" t="s">
        <v>81</v>
      </c>
      <c r="E330" s="45">
        <v>1</v>
      </c>
      <c r="F330" s="21" t="s">
        <v>98</v>
      </c>
      <c r="G330" s="49">
        <f>VLOOKUP(C:C,yedekparca!A:D,3,0)</f>
        <v>23.352318</v>
      </c>
      <c r="H330" s="49">
        <f t="shared" si="4"/>
        <v>23.352318</v>
      </c>
    </row>
    <row r="331" spans="1:8" outlineLevel="2" x14ac:dyDescent="0.25">
      <c r="A331" s="2" t="s">
        <v>267</v>
      </c>
      <c r="B331" s="2"/>
      <c r="C331" s="2" t="s">
        <v>95</v>
      </c>
      <c r="D331" s="2" t="s">
        <v>96</v>
      </c>
      <c r="E331" s="45">
        <v>1</v>
      </c>
      <c r="F331" s="21" t="s">
        <v>98</v>
      </c>
      <c r="G331" s="49">
        <f>VLOOKUP(C:C,yedekparca!A:D,3,0)</f>
        <v>51.472251</v>
      </c>
      <c r="H331" s="49">
        <f t="shared" si="4"/>
        <v>51.472251</v>
      </c>
    </row>
    <row r="332" spans="1:8" outlineLevel="2" x14ac:dyDescent="0.25">
      <c r="A332" s="2" t="s">
        <v>267</v>
      </c>
      <c r="B332" s="2"/>
      <c r="C332" s="2" t="s">
        <v>55</v>
      </c>
      <c r="D332" s="2" t="s">
        <v>56</v>
      </c>
      <c r="E332" s="45">
        <v>1</v>
      </c>
      <c r="F332" s="21" t="s">
        <v>98</v>
      </c>
      <c r="G332" s="49">
        <f>VLOOKUP(C:C,yedekparca!A:D,3,0)</f>
        <v>15.814088999999997</v>
      </c>
      <c r="H332" s="49">
        <f t="shared" si="4"/>
        <v>15.814088999999997</v>
      </c>
    </row>
    <row r="333" spans="1:8" ht="15.75" outlineLevel="2" x14ac:dyDescent="0.25">
      <c r="A333" s="2" t="s">
        <v>267</v>
      </c>
      <c r="B333" s="2"/>
      <c r="C333" s="16">
        <v>3289492</v>
      </c>
      <c r="D333" s="2" t="s">
        <v>30</v>
      </c>
      <c r="E333" s="45">
        <v>1</v>
      </c>
      <c r="F333" s="21" t="s">
        <v>98</v>
      </c>
      <c r="G333" s="49">
        <f>VLOOKUP(C:C,yedekparca!A:D,3,0)</f>
        <v>198.81854100000001</v>
      </c>
      <c r="H333" s="49">
        <f t="shared" si="4"/>
        <v>198.81854100000001</v>
      </c>
    </row>
    <row r="334" spans="1:8" outlineLevel="2" x14ac:dyDescent="0.25">
      <c r="A334" s="2" t="s">
        <v>267</v>
      </c>
      <c r="B334" s="2"/>
      <c r="C334" s="12" t="s">
        <v>40</v>
      </c>
      <c r="D334" s="2" t="s">
        <v>34</v>
      </c>
      <c r="E334" s="45">
        <v>1</v>
      </c>
      <c r="F334" s="21" t="s">
        <v>98</v>
      </c>
      <c r="G334" s="49">
        <f>VLOOKUP(C:C,yedekparca!A:D,3,0)</f>
        <v>93.229361999999995</v>
      </c>
      <c r="H334" s="49">
        <f t="shared" si="4"/>
        <v>93.229361999999995</v>
      </c>
    </row>
    <row r="335" spans="1:8" outlineLevel="2" x14ac:dyDescent="0.25">
      <c r="A335" s="2" t="s">
        <v>267</v>
      </c>
      <c r="B335" s="2"/>
      <c r="C335" s="12" t="s">
        <v>41</v>
      </c>
      <c r="D335" s="2" t="s">
        <v>37</v>
      </c>
      <c r="E335" s="45">
        <v>1</v>
      </c>
      <c r="F335" s="21" t="s">
        <v>98</v>
      </c>
      <c r="G335" s="49">
        <f>VLOOKUP(C:C,yedekparca!A:D,3,0)</f>
        <v>38.284848000000004</v>
      </c>
      <c r="H335" s="49">
        <f t="shared" si="4"/>
        <v>38.284848000000004</v>
      </c>
    </row>
    <row r="336" spans="1:8" outlineLevel="2" x14ac:dyDescent="0.25">
      <c r="A336" s="2" t="s">
        <v>267</v>
      </c>
      <c r="B336" s="2"/>
      <c r="C336" s="12" t="s">
        <v>97</v>
      </c>
      <c r="D336" s="2" t="s">
        <v>86</v>
      </c>
      <c r="E336" s="45">
        <v>1</v>
      </c>
      <c r="F336" s="21" t="s">
        <v>98</v>
      </c>
      <c r="G336" s="49">
        <f>VLOOKUP(C:C,yedekparca!A:D,3,0)</f>
        <v>42.62</v>
      </c>
      <c r="H336" s="49">
        <f t="shared" si="4"/>
        <v>42.62</v>
      </c>
    </row>
    <row r="337" spans="1:8" outlineLevel="2" x14ac:dyDescent="0.25">
      <c r="A337" s="2" t="s">
        <v>267</v>
      </c>
      <c r="B337" s="2"/>
      <c r="C337" s="2" t="s">
        <v>104</v>
      </c>
      <c r="D337" s="2" t="s">
        <v>16</v>
      </c>
      <c r="E337" s="45">
        <v>16</v>
      </c>
      <c r="F337" s="2" t="s">
        <v>103</v>
      </c>
      <c r="G337" s="49">
        <f>VLOOKUP(C:C,yedekparca!A:D,3,0)</f>
        <v>4.7906976744186043</v>
      </c>
      <c r="H337" s="49">
        <f t="shared" si="4"/>
        <v>76.651162790697668</v>
      </c>
    </row>
    <row r="338" spans="1:8" outlineLevel="2" x14ac:dyDescent="0.25">
      <c r="A338" s="2" t="s">
        <v>267</v>
      </c>
      <c r="B338" s="2"/>
      <c r="C338" s="2" t="s">
        <v>82</v>
      </c>
      <c r="D338" s="2" t="s">
        <v>83</v>
      </c>
      <c r="E338" s="45">
        <v>1</v>
      </c>
      <c r="F338" s="2" t="s">
        <v>103</v>
      </c>
      <c r="G338" s="49">
        <f>VLOOKUP(C:C,yedekparca!A:D,3,0)</f>
        <v>13.835079</v>
      </c>
      <c r="H338" s="49">
        <f t="shared" si="4"/>
        <v>13.835079</v>
      </c>
    </row>
    <row r="339" spans="1:8" outlineLevel="2" x14ac:dyDescent="0.25">
      <c r="A339" s="2" t="s">
        <v>267</v>
      </c>
      <c r="B339" s="2"/>
      <c r="C339" s="2" t="s">
        <v>23</v>
      </c>
      <c r="D339" s="2" t="s">
        <v>101</v>
      </c>
      <c r="E339" s="45">
        <v>13</v>
      </c>
      <c r="F339" s="2" t="s">
        <v>103</v>
      </c>
      <c r="G339" s="49">
        <f>VLOOKUP(C:C,yedekparca!A:D,3,0)</f>
        <v>3.6976744186046511</v>
      </c>
      <c r="H339" s="49">
        <f t="shared" si="4"/>
        <v>48.069767441860463</v>
      </c>
    </row>
    <row r="340" spans="1:8" outlineLevel="2" x14ac:dyDescent="0.25">
      <c r="A340" s="2" t="s">
        <v>267</v>
      </c>
      <c r="B340" s="2"/>
      <c r="C340" s="2" t="s">
        <v>28</v>
      </c>
      <c r="D340" s="2" t="s">
        <v>107</v>
      </c>
      <c r="E340" s="45">
        <v>22</v>
      </c>
      <c r="F340" s="2" t="s">
        <v>103</v>
      </c>
      <c r="G340" s="49">
        <f>VLOOKUP(C:C,yedekparca!A:D,3,0)</f>
        <v>3.2558139534883721</v>
      </c>
      <c r="H340" s="49">
        <f t="shared" si="4"/>
        <v>71.627906976744185</v>
      </c>
    </row>
    <row r="341" spans="1:8" outlineLevel="2" x14ac:dyDescent="0.25">
      <c r="A341" s="2" t="s">
        <v>267</v>
      </c>
      <c r="B341" s="2"/>
      <c r="C341" s="12" t="s">
        <v>69</v>
      </c>
      <c r="D341" s="2" t="s">
        <v>70</v>
      </c>
      <c r="E341" s="45">
        <v>1</v>
      </c>
      <c r="F341" s="21" t="s">
        <v>98</v>
      </c>
      <c r="G341" s="49">
        <f>VLOOKUP(C:C,yedekparca!A:D,3,0)</f>
        <v>43.987994999999998</v>
      </c>
      <c r="H341" s="49">
        <f t="shared" si="4"/>
        <v>43.987994999999998</v>
      </c>
    </row>
    <row r="342" spans="1:8" outlineLevel="2" x14ac:dyDescent="0.25">
      <c r="A342" s="2" t="s">
        <v>267</v>
      </c>
      <c r="B342" s="2"/>
      <c r="C342" s="15" t="s">
        <v>67</v>
      </c>
      <c r="D342" s="2" t="s">
        <v>68</v>
      </c>
      <c r="E342" s="45">
        <v>1</v>
      </c>
      <c r="F342" s="21" t="s">
        <v>98</v>
      </c>
      <c r="G342" s="49">
        <f>VLOOKUP(C:C,yedekparca!A:D,3,0)</f>
        <v>26.500743</v>
      </c>
      <c r="H342" s="49">
        <f t="shared" si="4"/>
        <v>26.500743</v>
      </c>
    </row>
    <row r="343" spans="1:8" outlineLevel="2" x14ac:dyDescent="0.25">
      <c r="A343" s="2" t="s">
        <v>267</v>
      </c>
      <c r="B343" s="2"/>
      <c r="C343" s="2" t="s">
        <v>19</v>
      </c>
      <c r="D343" s="2" t="s">
        <v>20</v>
      </c>
      <c r="E343" s="45">
        <v>171</v>
      </c>
      <c r="F343" s="2" t="s">
        <v>103</v>
      </c>
      <c r="G343" s="49">
        <f>VLOOKUP(C:C,yedekparca!A:D,3,0)</f>
        <v>2.6911627906976743</v>
      </c>
      <c r="H343" s="49">
        <f t="shared" si="4"/>
        <v>460.18883720930228</v>
      </c>
    </row>
    <row r="344" spans="1:8" outlineLevel="2" x14ac:dyDescent="0.25">
      <c r="A344" s="2" t="s">
        <v>267</v>
      </c>
      <c r="B344" s="2"/>
      <c r="C344" s="3" t="s">
        <v>5</v>
      </c>
      <c r="D344" s="3" t="s">
        <v>6</v>
      </c>
      <c r="E344" s="45">
        <v>1</v>
      </c>
      <c r="F344" s="21" t="s">
        <v>98</v>
      </c>
      <c r="G344" s="49">
        <f>VLOOKUP(C:C,yedekparca!A:D,3,0)</f>
        <v>139.53488372093022</v>
      </c>
      <c r="H344" s="49">
        <f t="shared" si="4"/>
        <v>139.53488372093022</v>
      </c>
    </row>
    <row r="345" spans="1:8" outlineLevel="1" x14ac:dyDescent="0.25">
      <c r="A345" s="2">
        <f>SUBTOTAL(9,A322:A344)</f>
        <v>0</v>
      </c>
      <c r="B345" s="2"/>
      <c r="C345" s="3"/>
      <c r="D345" s="3"/>
      <c r="E345" s="45"/>
      <c r="F345" s="21"/>
      <c r="G345" s="50" t="s">
        <v>311</v>
      </c>
      <c r="H345" s="49">
        <f>SUBTOTAL(9,H322:H344)</f>
        <v>1875.4098781162793</v>
      </c>
    </row>
    <row r="346" spans="1:8" outlineLevel="2" x14ac:dyDescent="0.25">
      <c r="A346" s="1" t="s">
        <v>268</v>
      </c>
      <c r="B346" s="1"/>
      <c r="C346" s="1" t="s">
        <v>23</v>
      </c>
      <c r="D346" s="1" t="s">
        <v>24</v>
      </c>
      <c r="E346" s="48">
        <v>1</v>
      </c>
      <c r="F346" s="27" t="s">
        <v>103</v>
      </c>
      <c r="G346" s="49">
        <f>VLOOKUP(C:C,yedekparca!A:D,3,0)</f>
        <v>3.6976744186046511</v>
      </c>
      <c r="H346" s="49">
        <f t="shared" si="4"/>
        <v>3.6976744186046511</v>
      </c>
    </row>
    <row r="347" spans="1:8" outlineLevel="2" x14ac:dyDescent="0.25">
      <c r="A347" s="1" t="s">
        <v>268</v>
      </c>
      <c r="B347" s="1"/>
      <c r="C347" s="28" t="s">
        <v>9</v>
      </c>
      <c r="D347" s="28" t="s">
        <v>10</v>
      </c>
      <c r="E347" s="48">
        <v>1</v>
      </c>
      <c r="F347" s="27" t="s">
        <v>98</v>
      </c>
      <c r="G347" s="49">
        <f>VLOOKUP(C:C,yedekparca!A:D,3,0)</f>
        <v>58.139534883720927</v>
      </c>
      <c r="H347" s="49">
        <f t="shared" si="4"/>
        <v>58.139534883720927</v>
      </c>
    </row>
    <row r="348" spans="1:8" outlineLevel="1" x14ac:dyDescent="0.25">
      <c r="A348" s="1">
        <f>SUBTOTAL(9,A346:A347)</f>
        <v>0</v>
      </c>
      <c r="B348" s="1"/>
      <c r="C348" s="28"/>
      <c r="D348" s="28"/>
      <c r="E348" s="48"/>
      <c r="F348" s="27"/>
      <c r="G348" s="50" t="s">
        <v>312</v>
      </c>
      <c r="H348" s="49">
        <f>SUBTOTAL(9,H346:H347)</f>
        <v>61.837209302325576</v>
      </c>
    </row>
    <row r="349" spans="1:8" outlineLevel="2" x14ac:dyDescent="0.25">
      <c r="A349" s="1" t="s">
        <v>269</v>
      </c>
      <c r="B349" s="1"/>
      <c r="C349" s="1" t="s">
        <v>23</v>
      </c>
      <c r="D349" s="1" t="s">
        <v>24</v>
      </c>
      <c r="E349" s="48">
        <v>1</v>
      </c>
      <c r="F349" s="27" t="s">
        <v>103</v>
      </c>
      <c r="G349" s="49">
        <f>VLOOKUP(C:C,yedekparca!A:D,3,0)</f>
        <v>3.6976744186046511</v>
      </c>
      <c r="H349" s="49">
        <f t="shared" si="4"/>
        <v>3.6976744186046511</v>
      </c>
    </row>
    <row r="350" spans="1:8" outlineLevel="2" x14ac:dyDescent="0.25">
      <c r="A350" s="1" t="s">
        <v>269</v>
      </c>
      <c r="B350" s="1"/>
      <c r="C350" s="1" t="s">
        <v>152</v>
      </c>
      <c r="D350" s="1" t="s">
        <v>137</v>
      </c>
      <c r="E350" s="48">
        <v>1</v>
      </c>
      <c r="F350" s="27" t="s">
        <v>98</v>
      </c>
      <c r="G350" s="49">
        <f>VLOOKUP(C:C,yedekparca!A:D,3,0)</f>
        <v>13.439276999999999</v>
      </c>
      <c r="H350" s="49">
        <f t="shared" si="4"/>
        <v>13.439276999999999</v>
      </c>
    </row>
    <row r="351" spans="1:8" outlineLevel="2" x14ac:dyDescent="0.25">
      <c r="A351" s="1" t="s">
        <v>269</v>
      </c>
      <c r="B351" s="1"/>
      <c r="C351" s="28" t="s">
        <v>11</v>
      </c>
      <c r="D351" s="28" t="s">
        <v>12</v>
      </c>
      <c r="E351" s="48">
        <v>1</v>
      </c>
      <c r="F351" s="27" t="s">
        <v>98</v>
      </c>
      <c r="G351" s="49">
        <f>VLOOKUP(C:C,yedekparca!A:D,3,0)</f>
        <v>69.767441860465112</v>
      </c>
      <c r="H351" s="49">
        <f t="shared" si="4"/>
        <v>69.767441860465112</v>
      </c>
    </row>
    <row r="352" spans="1:8" outlineLevel="1" x14ac:dyDescent="0.25">
      <c r="A352" s="1">
        <f>SUBTOTAL(9,A349:A351)</f>
        <v>0</v>
      </c>
      <c r="B352" s="1"/>
      <c r="C352" s="28"/>
      <c r="D352" s="28"/>
      <c r="E352" s="48"/>
      <c r="F352" s="27"/>
      <c r="G352" s="50" t="s">
        <v>313</v>
      </c>
      <c r="H352" s="49">
        <f>SUBTOTAL(9,H349:H351)</f>
        <v>86.904393279069765</v>
      </c>
    </row>
    <row r="353" spans="1:8" outlineLevel="2" x14ac:dyDescent="0.25">
      <c r="A353" s="1" t="s">
        <v>270</v>
      </c>
      <c r="B353" s="1"/>
      <c r="C353" s="1" t="s">
        <v>23</v>
      </c>
      <c r="D353" s="1" t="s">
        <v>24</v>
      </c>
      <c r="E353" s="48">
        <v>1</v>
      </c>
      <c r="F353" s="27" t="s">
        <v>103</v>
      </c>
      <c r="G353" s="49">
        <f>VLOOKUP(C:C,yedekparca!A:D,3,0)</f>
        <v>3.6976744186046511</v>
      </c>
      <c r="H353" s="49">
        <f t="shared" si="4"/>
        <v>3.6976744186046511</v>
      </c>
    </row>
    <row r="354" spans="1:8" outlineLevel="2" x14ac:dyDescent="0.25">
      <c r="A354" s="1" t="s">
        <v>270</v>
      </c>
      <c r="B354" s="1"/>
      <c r="C354" s="2" t="s">
        <v>19</v>
      </c>
      <c r="D354" s="1" t="s">
        <v>186</v>
      </c>
      <c r="E354" s="48">
        <v>20</v>
      </c>
      <c r="F354" s="27" t="s">
        <v>103</v>
      </c>
      <c r="G354" s="49">
        <f>VLOOKUP(C:C,yedekparca!A:D,3,0)</f>
        <v>2.6911627906976743</v>
      </c>
      <c r="H354" s="49">
        <f t="shared" ref="H354:H446" si="5">E354*G354</f>
        <v>53.823255813953487</v>
      </c>
    </row>
    <row r="355" spans="1:8" outlineLevel="2" x14ac:dyDescent="0.25">
      <c r="A355" s="1" t="s">
        <v>270</v>
      </c>
      <c r="B355" s="1"/>
      <c r="C355" s="2" t="s">
        <v>141</v>
      </c>
      <c r="D355" s="1" t="s">
        <v>142</v>
      </c>
      <c r="E355" s="48">
        <v>1</v>
      </c>
      <c r="F355" s="27" t="s">
        <v>98</v>
      </c>
      <c r="G355" s="49">
        <f>VLOOKUP(C:C,yedekparca!A:D,3,0)</f>
        <v>19.880054999999999</v>
      </c>
      <c r="H355" s="49">
        <f t="shared" si="5"/>
        <v>19.880054999999999</v>
      </c>
    </row>
    <row r="356" spans="1:8" outlineLevel="2" x14ac:dyDescent="0.25">
      <c r="A356" s="1" t="s">
        <v>270</v>
      </c>
      <c r="B356" s="1"/>
      <c r="C356" s="2" t="s">
        <v>146</v>
      </c>
      <c r="D356" s="1" t="s">
        <v>147</v>
      </c>
      <c r="E356" s="48">
        <v>1</v>
      </c>
      <c r="F356" s="27" t="s">
        <v>98</v>
      </c>
      <c r="G356" s="49">
        <f>VLOOKUP(C:C,yedekparca!A:D,3,0)</f>
        <v>9.1394280000000006</v>
      </c>
      <c r="H356" s="49">
        <f t="shared" si="5"/>
        <v>9.1394280000000006</v>
      </c>
    </row>
    <row r="357" spans="1:8" outlineLevel="2" x14ac:dyDescent="0.25">
      <c r="A357" s="1" t="s">
        <v>270</v>
      </c>
      <c r="B357" s="1"/>
      <c r="C357" s="1" t="s">
        <v>152</v>
      </c>
      <c r="D357" s="1" t="s">
        <v>137</v>
      </c>
      <c r="E357" s="48">
        <v>1</v>
      </c>
      <c r="F357" s="27" t="s">
        <v>98</v>
      </c>
      <c r="G357" s="49">
        <f>VLOOKUP(C:C,yedekparca!A:D,3,0)</f>
        <v>13.439276999999999</v>
      </c>
      <c r="H357" s="49">
        <f t="shared" si="5"/>
        <v>13.439276999999999</v>
      </c>
    </row>
    <row r="358" spans="1:8" outlineLevel="2" x14ac:dyDescent="0.25">
      <c r="A358" s="1" t="s">
        <v>270</v>
      </c>
      <c r="B358" s="1"/>
      <c r="C358" s="2" t="s">
        <v>17</v>
      </c>
      <c r="D358" s="1" t="s">
        <v>18</v>
      </c>
      <c r="E358" s="48">
        <v>0.5</v>
      </c>
      <c r="F358" s="27" t="s">
        <v>103</v>
      </c>
      <c r="G358" s="49">
        <f>VLOOKUP(C:C,yedekparca!A:D,3,0)</f>
        <v>2.8069767441860467</v>
      </c>
      <c r="H358" s="49">
        <f t="shared" si="5"/>
        <v>1.4034883720930234</v>
      </c>
    </row>
    <row r="359" spans="1:8" outlineLevel="2" x14ac:dyDescent="0.25">
      <c r="A359" s="1" t="s">
        <v>270</v>
      </c>
      <c r="B359" s="1"/>
      <c r="C359" s="28" t="s">
        <v>13</v>
      </c>
      <c r="D359" s="28" t="s">
        <v>14</v>
      </c>
      <c r="E359" s="48">
        <v>1</v>
      </c>
      <c r="F359" s="27" t="s">
        <v>98</v>
      </c>
      <c r="G359" s="49">
        <f>VLOOKUP(C:C,yedekparca!A:D,3,0)</f>
        <v>104.65116279069767</v>
      </c>
      <c r="H359" s="49">
        <f t="shared" si="5"/>
        <v>104.65116279069767</v>
      </c>
    </row>
    <row r="360" spans="1:8" outlineLevel="1" x14ac:dyDescent="0.25">
      <c r="A360" s="1">
        <f>SUBTOTAL(9,A353:A359)</f>
        <v>0</v>
      </c>
      <c r="B360" s="1"/>
      <c r="C360" s="28"/>
      <c r="D360" s="28"/>
      <c r="E360" s="48"/>
      <c r="F360" s="27"/>
      <c r="G360" s="50" t="s">
        <v>314</v>
      </c>
      <c r="H360" s="49">
        <f>SUBTOTAL(9,H353:H359)</f>
        <v>206.0343413953488</v>
      </c>
    </row>
    <row r="361" spans="1:8" outlineLevel="2" x14ac:dyDescent="0.25">
      <c r="A361" s="1" t="s">
        <v>271</v>
      </c>
      <c r="B361" s="1"/>
      <c r="C361" s="1" t="s">
        <v>23</v>
      </c>
      <c r="D361" s="1" t="s">
        <v>24</v>
      </c>
      <c r="E361" s="48">
        <v>1</v>
      </c>
      <c r="F361" s="27" t="s">
        <v>103</v>
      </c>
      <c r="G361" s="49">
        <f>VLOOKUP(C:C,yedekparca!A:D,3,0)</f>
        <v>3.6976744186046511</v>
      </c>
      <c r="H361" s="49">
        <f t="shared" si="5"/>
        <v>3.6976744186046511</v>
      </c>
    </row>
    <row r="362" spans="1:8" outlineLevel="2" x14ac:dyDescent="0.25">
      <c r="A362" s="1" t="s">
        <v>271</v>
      </c>
      <c r="B362" s="1"/>
      <c r="C362" s="28" t="s">
        <v>9</v>
      </c>
      <c r="D362" s="28" t="s">
        <v>10</v>
      </c>
      <c r="E362" s="48">
        <v>1</v>
      </c>
      <c r="F362" s="27" t="s">
        <v>98</v>
      </c>
      <c r="G362" s="49">
        <f>VLOOKUP(C:C,yedekparca!A:D,3,0)</f>
        <v>58.139534883720927</v>
      </c>
      <c r="H362" s="49">
        <f t="shared" si="5"/>
        <v>58.139534883720927</v>
      </c>
    </row>
    <row r="363" spans="1:8" outlineLevel="1" x14ac:dyDescent="0.25">
      <c r="A363" s="1">
        <f>SUBTOTAL(9,A361:A362)</f>
        <v>0</v>
      </c>
      <c r="B363" s="1"/>
      <c r="C363" s="28"/>
      <c r="D363" s="28"/>
      <c r="E363" s="48"/>
      <c r="F363" s="27"/>
      <c r="G363" s="50" t="s">
        <v>315</v>
      </c>
      <c r="H363" s="49">
        <f>SUBTOTAL(9,H361:H362)</f>
        <v>61.837209302325576</v>
      </c>
    </row>
    <row r="364" spans="1:8" outlineLevel="2" x14ac:dyDescent="0.25">
      <c r="A364" s="1" t="s">
        <v>272</v>
      </c>
      <c r="B364" s="1"/>
      <c r="C364" s="1" t="s">
        <v>23</v>
      </c>
      <c r="D364" s="1" t="s">
        <v>24</v>
      </c>
      <c r="E364" s="48">
        <v>1</v>
      </c>
      <c r="F364" s="27" t="s">
        <v>103</v>
      </c>
      <c r="G364" s="49">
        <f>VLOOKUP(C:C,yedekparca!A:D,3,0)</f>
        <v>3.6976744186046511</v>
      </c>
      <c r="H364" s="49">
        <f t="shared" si="5"/>
        <v>3.6976744186046511</v>
      </c>
    </row>
    <row r="365" spans="1:8" outlineLevel="2" x14ac:dyDescent="0.25">
      <c r="A365" s="1" t="s">
        <v>272</v>
      </c>
      <c r="B365" s="1"/>
      <c r="C365" s="2" t="s">
        <v>152</v>
      </c>
      <c r="D365" s="1" t="s">
        <v>137</v>
      </c>
      <c r="E365" s="48">
        <v>1</v>
      </c>
      <c r="F365" s="27" t="s">
        <v>98</v>
      </c>
      <c r="G365" s="49">
        <f>VLOOKUP(C:C,yedekparca!A:D,3,0)</f>
        <v>13.439276999999999</v>
      </c>
      <c r="H365" s="49">
        <f t="shared" si="5"/>
        <v>13.439276999999999</v>
      </c>
    </row>
    <row r="366" spans="1:8" outlineLevel="2" x14ac:dyDescent="0.25">
      <c r="A366" s="1" t="s">
        <v>272</v>
      </c>
      <c r="B366" s="1"/>
      <c r="C366" s="28" t="s">
        <v>11</v>
      </c>
      <c r="D366" s="28" t="s">
        <v>12</v>
      </c>
      <c r="E366" s="48">
        <v>1</v>
      </c>
      <c r="F366" s="27" t="s">
        <v>98</v>
      </c>
      <c r="G366" s="49">
        <f>VLOOKUP(C:C,yedekparca!A:D,3,0)</f>
        <v>69.767441860465112</v>
      </c>
      <c r="H366" s="49">
        <f t="shared" si="5"/>
        <v>69.767441860465112</v>
      </c>
    </row>
    <row r="367" spans="1:8" outlineLevel="1" x14ac:dyDescent="0.25">
      <c r="A367" s="1">
        <f>SUBTOTAL(9,A364:A366)</f>
        <v>0</v>
      </c>
      <c r="B367" s="1"/>
      <c r="C367" s="28"/>
      <c r="D367" s="28"/>
      <c r="E367" s="48"/>
      <c r="F367" s="27"/>
      <c r="G367" s="50" t="s">
        <v>316</v>
      </c>
      <c r="H367" s="49">
        <f>SUBTOTAL(9,H364:H366)</f>
        <v>86.904393279069765</v>
      </c>
    </row>
    <row r="368" spans="1:8" outlineLevel="2" x14ac:dyDescent="0.25">
      <c r="A368" s="1" t="s">
        <v>273</v>
      </c>
      <c r="B368" s="1"/>
      <c r="C368" s="1" t="s">
        <v>23</v>
      </c>
      <c r="D368" s="1" t="s">
        <v>24</v>
      </c>
      <c r="E368" s="48">
        <v>1</v>
      </c>
      <c r="F368" s="27" t="s">
        <v>103</v>
      </c>
      <c r="G368" s="49">
        <f>VLOOKUP(C:C,yedekparca!A:D,3,0)</f>
        <v>3.6976744186046511</v>
      </c>
      <c r="H368" s="49">
        <f t="shared" si="5"/>
        <v>3.6976744186046511</v>
      </c>
    </row>
    <row r="369" spans="1:8" outlineLevel="2" x14ac:dyDescent="0.25">
      <c r="A369" s="1" t="s">
        <v>273</v>
      </c>
      <c r="B369" s="1"/>
      <c r="C369" s="2" t="s">
        <v>19</v>
      </c>
      <c r="D369" s="1" t="s">
        <v>186</v>
      </c>
      <c r="E369" s="48">
        <v>20</v>
      </c>
      <c r="F369" s="27" t="s">
        <v>103</v>
      </c>
      <c r="G369" s="49">
        <f>VLOOKUP(C:C,yedekparca!A:D,3,0)</f>
        <v>2.6911627906976743</v>
      </c>
      <c r="H369" s="49">
        <f t="shared" si="5"/>
        <v>53.823255813953487</v>
      </c>
    </row>
    <row r="370" spans="1:8" outlineLevel="2" x14ac:dyDescent="0.25">
      <c r="A370" s="1" t="s">
        <v>273</v>
      </c>
      <c r="B370" s="1"/>
      <c r="C370" s="2" t="s">
        <v>152</v>
      </c>
      <c r="D370" s="1" t="s">
        <v>137</v>
      </c>
      <c r="E370" s="48">
        <v>1</v>
      </c>
      <c r="F370" s="27" t="s">
        <v>98</v>
      </c>
      <c r="G370" s="49">
        <f>VLOOKUP(C:C,yedekparca!A:D,3,0)</f>
        <v>13.439276999999999</v>
      </c>
      <c r="H370" s="49">
        <f t="shared" si="5"/>
        <v>13.439276999999999</v>
      </c>
    </row>
    <row r="371" spans="1:8" outlineLevel="2" x14ac:dyDescent="0.25">
      <c r="A371" s="1" t="s">
        <v>273</v>
      </c>
      <c r="B371" s="1"/>
      <c r="C371" s="2" t="s">
        <v>141</v>
      </c>
      <c r="D371" s="1" t="s">
        <v>142</v>
      </c>
      <c r="E371" s="48">
        <v>1</v>
      </c>
      <c r="F371" s="27" t="s">
        <v>98</v>
      </c>
      <c r="G371" s="49">
        <f>VLOOKUP(C:C,yedekparca!A:D,3,0)</f>
        <v>19.880054999999999</v>
      </c>
      <c r="H371" s="49">
        <f t="shared" si="5"/>
        <v>19.880054999999999</v>
      </c>
    </row>
    <row r="372" spans="1:8" outlineLevel="2" x14ac:dyDescent="0.25">
      <c r="A372" s="1" t="s">
        <v>273</v>
      </c>
      <c r="B372" s="1"/>
      <c r="C372" s="2" t="s">
        <v>146</v>
      </c>
      <c r="D372" s="1" t="s">
        <v>147</v>
      </c>
      <c r="E372" s="48">
        <v>1</v>
      </c>
      <c r="F372" s="27" t="s">
        <v>98</v>
      </c>
      <c r="G372" s="49">
        <f>VLOOKUP(C:C,yedekparca!A:D,3,0)</f>
        <v>9.1394280000000006</v>
      </c>
      <c r="H372" s="49">
        <f t="shared" si="5"/>
        <v>9.1394280000000006</v>
      </c>
    </row>
    <row r="373" spans="1:8" outlineLevel="2" x14ac:dyDescent="0.25">
      <c r="A373" s="1" t="s">
        <v>273</v>
      </c>
      <c r="B373" s="1"/>
      <c r="C373" s="2" t="s">
        <v>17</v>
      </c>
      <c r="D373" s="1" t="s">
        <v>18</v>
      </c>
      <c r="E373" s="48">
        <v>0.5</v>
      </c>
      <c r="F373" s="27" t="s">
        <v>103</v>
      </c>
      <c r="G373" s="49">
        <f>VLOOKUP(C:C,yedekparca!A:D,3,0)</f>
        <v>2.8069767441860467</v>
      </c>
      <c r="H373" s="49">
        <f t="shared" si="5"/>
        <v>1.4034883720930234</v>
      </c>
    </row>
    <row r="374" spans="1:8" outlineLevel="2" x14ac:dyDescent="0.25">
      <c r="A374" s="1" t="s">
        <v>273</v>
      </c>
      <c r="B374" s="1"/>
      <c r="C374" s="28" t="s">
        <v>13</v>
      </c>
      <c r="D374" s="28" t="s">
        <v>14</v>
      </c>
      <c r="E374" s="48">
        <v>1</v>
      </c>
      <c r="F374" s="27" t="s">
        <v>98</v>
      </c>
      <c r="G374" s="49">
        <f>VLOOKUP(C:C,yedekparca!A:D,3,0)</f>
        <v>104.65116279069767</v>
      </c>
      <c r="H374" s="49">
        <f t="shared" si="5"/>
        <v>104.65116279069767</v>
      </c>
    </row>
    <row r="375" spans="1:8" outlineLevel="1" x14ac:dyDescent="0.25">
      <c r="A375" s="1">
        <f>SUBTOTAL(9,A368:A374)</f>
        <v>0</v>
      </c>
      <c r="B375" s="1"/>
      <c r="C375" s="28"/>
      <c r="D375" s="28"/>
      <c r="E375" s="48"/>
      <c r="F375" s="27"/>
      <c r="G375" s="50" t="s">
        <v>317</v>
      </c>
      <c r="H375" s="49">
        <f>SUBTOTAL(9,H368:H374)</f>
        <v>206.0343413953488</v>
      </c>
    </row>
    <row r="376" spans="1:8" outlineLevel="2" x14ac:dyDescent="0.25">
      <c r="A376" s="1" t="s">
        <v>403</v>
      </c>
      <c r="B376" s="1"/>
      <c r="C376" s="1" t="s">
        <v>23</v>
      </c>
      <c r="D376" s="1" t="s">
        <v>24</v>
      </c>
      <c r="E376" s="48">
        <v>1</v>
      </c>
      <c r="F376" s="27" t="s">
        <v>103</v>
      </c>
      <c r="G376" s="49">
        <f>VLOOKUP(C:C,yedekparca!A:D,3,0)</f>
        <v>3.6976744186046511</v>
      </c>
      <c r="H376" s="49">
        <f t="shared" si="5"/>
        <v>3.6976744186046511</v>
      </c>
    </row>
    <row r="377" spans="1:8" outlineLevel="2" x14ac:dyDescent="0.25">
      <c r="A377" s="1" t="s">
        <v>403</v>
      </c>
      <c r="B377" s="1"/>
      <c r="C377" s="28" t="s">
        <v>9</v>
      </c>
      <c r="D377" s="28" t="s">
        <v>10</v>
      </c>
      <c r="E377" s="48">
        <v>1</v>
      </c>
      <c r="F377" s="27" t="s">
        <v>98</v>
      </c>
      <c r="G377" s="49">
        <f>VLOOKUP(C:C,yedekparca!A:D,3,0)</f>
        <v>58.139534883720927</v>
      </c>
      <c r="H377" s="49">
        <f t="shared" si="5"/>
        <v>58.139534883720927</v>
      </c>
    </row>
    <row r="378" spans="1:8" outlineLevel="1" x14ac:dyDescent="0.25">
      <c r="A378" s="1">
        <f>SUBTOTAL(9,A376:A377)</f>
        <v>0</v>
      </c>
      <c r="B378" s="1"/>
      <c r="C378" s="28"/>
      <c r="D378" s="28"/>
      <c r="E378" s="48"/>
      <c r="F378" s="27"/>
      <c r="G378" s="50" t="s">
        <v>413</v>
      </c>
      <c r="H378" s="49">
        <f>SUBTOTAL(9,H376:H377)</f>
        <v>61.837209302325576</v>
      </c>
    </row>
    <row r="379" spans="1:8" outlineLevel="2" x14ac:dyDescent="0.25">
      <c r="A379" s="1" t="s">
        <v>404</v>
      </c>
      <c r="B379" s="1"/>
      <c r="C379" s="1" t="s">
        <v>23</v>
      </c>
      <c r="D379" s="1" t="s">
        <v>24</v>
      </c>
      <c r="E379" s="48">
        <v>1</v>
      </c>
      <c r="F379" s="27" t="s">
        <v>103</v>
      </c>
      <c r="G379" s="49">
        <f>VLOOKUP(C:C,yedekparca!A:D,3,0)</f>
        <v>3.6976744186046511</v>
      </c>
      <c r="H379" s="49">
        <f t="shared" si="5"/>
        <v>3.6976744186046511</v>
      </c>
    </row>
    <row r="380" spans="1:8" outlineLevel="2" x14ac:dyDescent="0.25">
      <c r="A380" s="1" t="s">
        <v>404</v>
      </c>
      <c r="B380" s="1"/>
      <c r="C380" s="2" t="s">
        <v>152</v>
      </c>
      <c r="D380" s="1" t="s">
        <v>137</v>
      </c>
      <c r="E380" s="48">
        <v>1</v>
      </c>
      <c r="F380" s="27" t="s">
        <v>98</v>
      </c>
      <c r="G380" s="49">
        <f>VLOOKUP(C:C,yedekparca!A:D,3,0)</f>
        <v>13.439276999999999</v>
      </c>
      <c r="H380" s="49">
        <f t="shared" si="5"/>
        <v>13.439276999999999</v>
      </c>
    </row>
    <row r="381" spans="1:8" outlineLevel="2" x14ac:dyDescent="0.25">
      <c r="A381" s="1" t="s">
        <v>404</v>
      </c>
      <c r="B381" s="1"/>
      <c r="C381" s="28" t="s">
        <v>11</v>
      </c>
      <c r="D381" s="28" t="s">
        <v>12</v>
      </c>
      <c r="E381" s="48">
        <v>1</v>
      </c>
      <c r="F381" s="27" t="s">
        <v>98</v>
      </c>
      <c r="G381" s="49">
        <f>VLOOKUP(C:C,yedekparca!A:D,3,0)</f>
        <v>69.767441860465112</v>
      </c>
      <c r="H381" s="49">
        <f t="shared" si="5"/>
        <v>69.767441860465112</v>
      </c>
    </row>
    <row r="382" spans="1:8" outlineLevel="1" x14ac:dyDescent="0.25">
      <c r="A382" s="1">
        <f>SUBTOTAL(9,A379:A381)</f>
        <v>0</v>
      </c>
      <c r="B382" s="1"/>
      <c r="C382" s="28"/>
      <c r="D382" s="28"/>
      <c r="E382" s="48"/>
      <c r="F382" s="27"/>
      <c r="G382" s="50" t="s">
        <v>414</v>
      </c>
      <c r="H382" s="49">
        <f>SUBTOTAL(9,H379:H381)</f>
        <v>86.904393279069765</v>
      </c>
    </row>
    <row r="383" spans="1:8" outlineLevel="2" x14ac:dyDescent="0.25">
      <c r="A383" s="1" t="s">
        <v>405</v>
      </c>
      <c r="B383" s="1"/>
      <c r="C383" s="1" t="s">
        <v>23</v>
      </c>
      <c r="D383" s="1" t="s">
        <v>24</v>
      </c>
      <c r="E383" s="48">
        <v>1</v>
      </c>
      <c r="F383" s="27" t="s">
        <v>103</v>
      </c>
      <c r="G383" s="49">
        <f>VLOOKUP(C:C,yedekparca!A:D,3,0)</f>
        <v>3.6976744186046511</v>
      </c>
      <c r="H383" s="49">
        <f t="shared" si="5"/>
        <v>3.6976744186046511</v>
      </c>
    </row>
    <row r="384" spans="1:8" outlineLevel="2" x14ac:dyDescent="0.25">
      <c r="A384" s="1" t="s">
        <v>405</v>
      </c>
      <c r="B384" s="1"/>
      <c r="C384" s="2" t="s">
        <v>19</v>
      </c>
      <c r="D384" s="1" t="s">
        <v>186</v>
      </c>
      <c r="E384" s="48">
        <v>20</v>
      </c>
      <c r="F384" s="27" t="s">
        <v>103</v>
      </c>
      <c r="G384" s="49">
        <f>VLOOKUP(C:C,yedekparca!A:D,3,0)</f>
        <v>2.6911627906976743</v>
      </c>
      <c r="H384" s="49">
        <f t="shared" si="5"/>
        <v>53.823255813953487</v>
      </c>
    </row>
    <row r="385" spans="1:8" outlineLevel="2" x14ac:dyDescent="0.25">
      <c r="A385" s="1" t="s">
        <v>405</v>
      </c>
      <c r="B385" s="1"/>
      <c r="C385" s="2" t="s">
        <v>152</v>
      </c>
      <c r="D385" s="1" t="s">
        <v>137</v>
      </c>
      <c r="E385" s="48">
        <v>1</v>
      </c>
      <c r="F385" s="27" t="s">
        <v>98</v>
      </c>
      <c r="G385" s="49">
        <f>VLOOKUP(C:C,yedekparca!A:D,3,0)</f>
        <v>13.439276999999999</v>
      </c>
      <c r="H385" s="49">
        <f t="shared" si="5"/>
        <v>13.439276999999999</v>
      </c>
    </row>
    <row r="386" spans="1:8" outlineLevel="2" x14ac:dyDescent="0.25">
      <c r="A386" s="1" t="s">
        <v>405</v>
      </c>
      <c r="B386" s="1"/>
      <c r="C386" s="2" t="s">
        <v>141</v>
      </c>
      <c r="D386" s="1" t="s">
        <v>142</v>
      </c>
      <c r="E386" s="48">
        <v>1</v>
      </c>
      <c r="F386" s="27" t="s">
        <v>98</v>
      </c>
      <c r="G386" s="49">
        <f>VLOOKUP(C:C,yedekparca!A:D,3,0)</f>
        <v>19.880054999999999</v>
      </c>
      <c r="H386" s="49">
        <f t="shared" si="5"/>
        <v>19.880054999999999</v>
      </c>
    </row>
    <row r="387" spans="1:8" outlineLevel="2" x14ac:dyDescent="0.25">
      <c r="A387" s="1" t="s">
        <v>405</v>
      </c>
      <c r="B387" s="1"/>
      <c r="C387" s="2" t="s">
        <v>146</v>
      </c>
      <c r="D387" s="1" t="s">
        <v>147</v>
      </c>
      <c r="E387" s="48">
        <v>1</v>
      </c>
      <c r="F387" s="27" t="s">
        <v>98</v>
      </c>
      <c r="G387" s="49">
        <f>VLOOKUP(C:C,yedekparca!A:D,3,0)</f>
        <v>9.1394280000000006</v>
      </c>
      <c r="H387" s="49">
        <f t="shared" si="5"/>
        <v>9.1394280000000006</v>
      </c>
    </row>
    <row r="388" spans="1:8" outlineLevel="2" x14ac:dyDescent="0.25">
      <c r="A388" s="1" t="s">
        <v>405</v>
      </c>
      <c r="B388" s="1"/>
      <c r="C388" s="1" t="s">
        <v>25</v>
      </c>
      <c r="D388" s="1" t="s">
        <v>18</v>
      </c>
      <c r="E388" s="48">
        <v>0.5</v>
      </c>
      <c r="F388" s="27" t="s">
        <v>103</v>
      </c>
      <c r="G388" s="49">
        <f>VLOOKUP(C:C,yedekparca!A:D,3,0)</f>
        <v>11.255813953488373</v>
      </c>
      <c r="H388" s="49">
        <f t="shared" si="5"/>
        <v>5.6279069767441863</v>
      </c>
    </row>
    <row r="389" spans="1:8" outlineLevel="2" x14ac:dyDescent="0.25">
      <c r="A389" s="1" t="s">
        <v>405</v>
      </c>
      <c r="B389" s="1"/>
      <c r="C389" s="28" t="s">
        <v>13</v>
      </c>
      <c r="D389" s="28" t="s">
        <v>14</v>
      </c>
      <c r="E389" s="48">
        <v>1</v>
      </c>
      <c r="F389" s="27" t="s">
        <v>98</v>
      </c>
      <c r="G389" s="49">
        <f>VLOOKUP(C:C,yedekparca!A:D,3,0)</f>
        <v>104.65116279069767</v>
      </c>
      <c r="H389" s="49">
        <f t="shared" si="5"/>
        <v>104.65116279069767</v>
      </c>
    </row>
    <row r="390" spans="1:8" outlineLevel="1" x14ac:dyDescent="0.25">
      <c r="A390" s="1">
        <f>SUBTOTAL(9,A383:A389)</f>
        <v>0</v>
      </c>
      <c r="B390" s="1"/>
      <c r="C390" s="28"/>
      <c r="D390" s="28"/>
      <c r="E390" s="48"/>
      <c r="F390" s="27"/>
      <c r="G390" s="50" t="s">
        <v>415</v>
      </c>
      <c r="H390" s="49">
        <f>SUBTOTAL(9,H383:H389)</f>
        <v>210.25876</v>
      </c>
    </row>
    <row r="391" spans="1:8" outlineLevel="2" x14ac:dyDescent="0.25">
      <c r="A391" s="1" t="s">
        <v>277</v>
      </c>
      <c r="B391" s="1"/>
      <c r="C391" s="1" t="s">
        <v>23</v>
      </c>
      <c r="D391" s="1" t="s">
        <v>24</v>
      </c>
      <c r="E391" s="48">
        <v>2</v>
      </c>
      <c r="F391" s="27" t="s">
        <v>103</v>
      </c>
      <c r="G391" s="49">
        <f>VLOOKUP(C:C,yedekparca!A:D,3,0)</f>
        <v>3.6976744186046511</v>
      </c>
      <c r="H391" s="49">
        <f t="shared" si="5"/>
        <v>7.3953488372093021</v>
      </c>
    </row>
    <row r="392" spans="1:8" outlineLevel="2" x14ac:dyDescent="0.25">
      <c r="A392" s="1" t="s">
        <v>277</v>
      </c>
      <c r="B392" s="1"/>
      <c r="C392" s="28" t="s">
        <v>9</v>
      </c>
      <c r="D392" s="28" t="s">
        <v>10</v>
      </c>
      <c r="E392" s="48">
        <v>1</v>
      </c>
      <c r="F392" s="27" t="s">
        <v>98</v>
      </c>
      <c r="G392" s="49">
        <f>VLOOKUP(C:C,yedekparca!A:D,3,0)</f>
        <v>58.139534883720927</v>
      </c>
      <c r="H392" s="49">
        <f t="shared" si="5"/>
        <v>58.139534883720927</v>
      </c>
    </row>
    <row r="393" spans="1:8" outlineLevel="1" x14ac:dyDescent="0.25">
      <c r="A393" s="1">
        <f>SUBTOTAL(9,A391:A392)</f>
        <v>0</v>
      </c>
      <c r="B393" s="1"/>
      <c r="C393" s="28"/>
      <c r="D393" s="28"/>
      <c r="E393" s="48"/>
      <c r="F393" s="27"/>
      <c r="G393" s="50" t="s">
        <v>318</v>
      </c>
      <c r="H393" s="49">
        <f>SUBTOTAL(9,H391:H392)</f>
        <v>65.534883720930225</v>
      </c>
    </row>
    <row r="394" spans="1:8" outlineLevel="2" x14ac:dyDescent="0.25">
      <c r="A394" s="1" t="s">
        <v>278</v>
      </c>
      <c r="B394" s="1"/>
      <c r="C394" s="1" t="s">
        <v>23</v>
      </c>
      <c r="D394" s="1" t="s">
        <v>24</v>
      </c>
      <c r="E394" s="48">
        <v>2</v>
      </c>
      <c r="F394" s="27" t="s">
        <v>103</v>
      </c>
      <c r="G394" s="49">
        <f>VLOOKUP(C:C,yedekparca!A:D,3,0)</f>
        <v>3.6976744186046511</v>
      </c>
      <c r="H394" s="49">
        <f t="shared" si="5"/>
        <v>7.3953488372093021</v>
      </c>
    </row>
    <row r="395" spans="1:8" outlineLevel="2" x14ac:dyDescent="0.25">
      <c r="A395" s="1" t="s">
        <v>278</v>
      </c>
      <c r="B395" s="1"/>
      <c r="C395" s="29" t="s">
        <v>144</v>
      </c>
      <c r="D395" s="2" t="s">
        <v>137</v>
      </c>
      <c r="E395" s="48">
        <v>1</v>
      </c>
      <c r="F395" s="27" t="s">
        <v>98</v>
      </c>
      <c r="G395" s="49">
        <f>VLOOKUP(C:C,yedekparca!A:D,3,0)</f>
        <v>8.5996980000000001</v>
      </c>
      <c r="H395" s="49">
        <f t="shared" si="5"/>
        <v>8.5996980000000001</v>
      </c>
    </row>
    <row r="396" spans="1:8" outlineLevel="2" x14ac:dyDescent="0.25">
      <c r="A396" s="1" t="s">
        <v>278</v>
      </c>
      <c r="B396" s="1"/>
      <c r="C396" s="28" t="s">
        <v>11</v>
      </c>
      <c r="D396" s="28" t="s">
        <v>12</v>
      </c>
      <c r="E396" s="48">
        <v>1</v>
      </c>
      <c r="F396" s="27" t="s">
        <v>98</v>
      </c>
      <c r="G396" s="49">
        <f>VLOOKUP(C:C,yedekparca!A:D,3,0)</f>
        <v>69.767441860465112</v>
      </c>
      <c r="H396" s="49">
        <f t="shared" si="5"/>
        <v>69.767441860465112</v>
      </c>
    </row>
    <row r="397" spans="1:8" outlineLevel="1" x14ac:dyDescent="0.25">
      <c r="A397" s="1">
        <f>SUBTOTAL(9,A394:A396)</f>
        <v>0</v>
      </c>
      <c r="B397" s="1"/>
      <c r="C397" s="28"/>
      <c r="D397" s="28"/>
      <c r="E397" s="48"/>
      <c r="F397" s="27"/>
      <c r="G397" s="50" t="s">
        <v>319</v>
      </c>
      <c r="H397" s="49">
        <f>SUBTOTAL(9,H394:H396)</f>
        <v>85.762488697674414</v>
      </c>
    </row>
    <row r="398" spans="1:8" outlineLevel="2" x14ac:dyDescent="0.25">
      <c r="A398" s="1" t="s">
        <v>279</v>
      </c>
      <c r="B398" s="1"/>
      <c r="C398" s="1" t="s">
        <v>23</v>
      </c>
      <c r="D398" s="1" t="s">
        <v>24</v>
      </c>
      <c r="E398" s="48">
        <v>2</v>
      </c>
      <c r="F398" s="27" t="s">
        <v>103</v>
      </c>
      <c r="G398" s="49">
        <f>VLOOKUP(C:C,yedekparca!A:D,3,0)</f>
        <v>3.6976744186046511</v>
      </c>
      <c r="H398" s="49">
        <f t="shared" si="5"/>
        <v>7.3953488372093021</v>
      </c>
    </row>
    <row r="399" spans="1:8" outlineLevel="2" x14ac:dyDescent="0.25">
      <c r="A399" s="1" t="s">
        <v>279</v>
      </c>
      <c r="B399" s="1"/>
      <c r="C399" s="2" t="s">
        <v>19</v>
      </c>
      <c r="D399" s="1" t="s">
        <v>186</v>
      </c>
      <c r="E399" s="48">
        <v>32.799999999999997</v>
      </c>
      <c r="F399" s="27" t="s">
        <v>103</v>
      </c>
      <c r="G399" s="49">
        <f>VLOOKUP(C:C,yedekparca!A:D,3,0)</f>
        <v>2.6911627906976743</v>
      </c>
      <c r="H399" s="49">
        <f t="shared" si="5"/>
        <v>88.270139534883711</v>
      </c>
    </row>
    <row r="400" spans="1:8" outlineLevel="2" x14ac:dyDescent="0.25">
      <c r="A400" s="1" t="s">
        <v>279</v>
      </c>
      <c r="B400" s="1"/>
      <c r="C400" s="29" t="s">
        <v>144</v>
      </c>
      <c r="D400" s="2" t="s">
        <v>137</v>
      </c>
      <c r="E400" s="48">
        <v>1</v>
      </c>
      <c r="F400" s="27" t="s">
        <v>98</v>
      </c>
      <c r="G400" s="49">
        <f>VLOOKUP(C:C,yedekparca!A:D,3,0)</f>
        <v>8.5996980000000001</v>
      </c>
      <c r="H400" s="49">
        <f t="shared" si="5"/>
        <v>8.5996980000000001</v>
      </c>
    </row>
    <row r="401" spans="1:8" outlineLevel="2" x14ac:dyDescent="0.25">
      <c r="A401" s="1" t="s">
        <v>279</v>
      </c>
      <c r="B401" s="1"/>
      <c r="C401" s="30" t="s">
        <v>153</v>
      </c>
      <c r="D401" s="1" t="s">
        <v>142</v>
      </c>
      <c r="E401" s="48">
        <v>1</v>
      </c>
      <c r="F401" s="27" t="s">
        <v>98</v>
      </c>
      <c r="G401" s="49">
        <f>VLOOKUP(C:C,yedekparca!A:D,3,0)</f>
        <v>11.316338999999999</v>
      </c>
      <c r="H401" s="49">
        <f t="shared" si="5"/>
        <v>11.316338999999999</v>
      </c>
    </row>
    <row r="402" spans="1:8" outlineLevel="2" x14ac:dyDescent="0.25">
      <c r="A402" s="1" t="s">
        <v>279</v>
      </c>
      <c r="B402" s="1"/>
      <c r="C402" s="31" t="s">
        <v>66</v>
      </c>
      <c r="D402" s="1" t="s">
        <v>147</v>
      </c>
      <c r="E402" s="48">
        <v>1</v>
      </c>
      <c r="F402" s="27" t="s">
        <v>98</v>
      </c>
      <c r="G402" s="49">
        <f>VLOOKUP(C:C,yedekparca!A:D,3,0)</f>
        <v>3.3823079999999996</v>
      </c>
      <c r="H402" s="49">
        <f t="shared" si="5"/>
        <v>3.3823079999999996</v>
      </c>
    </row>
    <row r="403" spans="1:8" outlineLevel="2" x14ac:dyDescent="0.25">
      <c r="A403" s="1" t="s">
        <v>279</v>
      </c>
      <c r="B403" s="1"/>
      <c r="C403" s="2" t="s">
        <v>17</v>
      </c>
      <c r="D403" s="1" t="s">
        <v>18</v>
      </c>
      <c r="E403" s="48">
        <v>0.5</v>
      </c>
      <c r="F403" s="27" t="s">
        <v>103</v>
      </c>
      <c r="G403" s="49">
        <f>VLOOKUP(C:C,yedekparca!A:D,3,0)</f>
        <v>2.8069767441860467</v>
      </c>
      <c r="H403" s="49">
        <f t="shared" si="5"/>
        <v>1.4034883720930234</v>
      </c>
    </row>
    <row r="404" spans="1:8" outlineLevel="2" x14ac:dyDescent="0.25">
      <c r="A404" s="1" t="s">
        <v>279</v>
      </c>
      <c r="B404" s="1"/>
      <c r="C404" s="28" t="s">
        <v>13</v>
      </c>
      <c r="D404" s="28" t="s">
        <v>14</v>
      </c>
      <c r="E404" s="48">
        <v>1</v>
      </c>
      <c r="F404" s="27" t="s">
        <v>98</v>
      </c>
      <c r="G404" s="49">
        <f>VLOOKUP(C:C,yedekparca!A:D,3,0)</f>
        <v>104.65116279069767</v>
      </c>
      <c r="H404" s="49">
        <f t="shared" si="5"/>
        <v>104.65116279069767</v>
      </c>
    </row>
    <row r="405" spans="1:8" outlineLevel="1" x14ac:dyDescent="0.25">
      <c r="A405" s="1">
        <f>SUBTOTAL(9,A398:A404)</f>
        <v>0</v>
      </c>
      <c r="B405" s="1"/>
      <c r="C405" s="28"/>
      <c r="D405" s="28"/>
      <c r="E405" s="48"/>
      <c r="F405" s="27"/>
      <c r="G405" s="50" t="s">
        <v>320</v>
      </c>
      <c r="H405" s="49">
        <f>SUBTOTAL(9,H398:H404)</f>
        <v>225.0184845348837</v>
      </c>
    </row>
    <row r="406" spans="1:8" outlineLevel="2" x14ac:dyDescent="0.25">
      <c r="A406" s="1" t="s">
        <v>406</v>
      </c>
      <c r="B406" s="1"/>
      <c r="C406" s="1" t="s">
        <v>23</v>
      </c>
      <c r="D406" s="1" t="s">
        <v>24</v>
      </c>
      <c r="E406" s="48">
        <v>2</v>
      </c>
      <c r="F406" s="27" t="s">
        <v>103</v>
      </c>
      <c r="G406" s="49">
        <f>VLOOKUP(C:C,yedekparca!A:D,3,0)</f>
        <v>3.6976744186046511</v>
      </c>
      <c r="H406" s="49">
        <f t="shared" si="5"/>
        <v>7.3953488372093021</v>
      </c>
    </row>
    <row r="407" spans="1:8" outlineLevel="2" x14ac:dyDescent="0.25">
      <c r="A407" s="1" t="s">
        <v>406</v>
      </c>
      <c r="B407" s="1"/>
      <c r="C407" s="28" t="s">
        <v>9</v>
      </c>
      <c r="D407" s="28" t="s">
        <v>10</v>
      </c>
      <c r="E407" s="48">
        <v>1</v>
      </c>
      <c r="F407" s="27" t="s">
        <v>98</v>
      </c>
      <c r="G407" s="49">
        <f>VLOOKUP(C:C,yedekparca!A:D,3,0)</f>
        <v>58.139534883720927</v>
      </c>
      <c r="H407" s="49">
        <f t="shared" si="5"/>
        <v>58.139534883720927</v>
      </c>
    </row>
    <row r="408" spans="1:8" outlineLevel="1" x14ac:dyDescent="0.25">
      <c r="A408" s="1">
        <f>SUBTOTAL(9,A406:A407)</f>
        <v>0</v>
      </c>
      <c r="B408" s="1"/>
      <c r="C408" s="28"/>
      <c r="D408" s="28"/>
      <c r="E408" s="48"/>
      <c r="F408" s="27"/>
      <c r="G408" s="50" t="s">
        <v>409</v>
      </c>
      <c r="H408" s="49">
        <f>SUBTOTAL(9,H406:H407)</f>
        <v>65.534883720930225</v>
      </c>
    </row>
    <row r="409" spans="1:8" outlineLevel="2" x14ac:dyDescent="0.25">
      <c r="A409" s="1" t="s">
        <v>407</v>
      </c>
      <c r="B409" s="1"/>
      <c r="C409" s="1" t="s">
        <v>23</v>
      </c>
      <c r="D409" s="1" t="s">
        <v>24</v>
      </c>
      <c r="E409" s="48">
        <v>2</v>
      </c>
      <c r="F409" s="27" t="s">
        <v>103</v>
      </c>
      <c r="G409" s="49">
        <f>VLOOKUP(C:C,yedekparca!A:D,3,0)</f>
        <v>3.6976744186046511</v>
      </c>
      <c r="H409" s="49">
        <f t="shared" si="5"/>
        <v>7.3953488372093021</v>
      </c>
    </row>
    <row r="410" spans="1:8" outlineLevel="2" x14ac:dyDescent="0.25">
      <c r="A410" s="1" t="s">
        <v>407</v>
      </c>
      <c r="B410" s="1"/>
      <c r="C410" s="29" t="s">
        <v>152</v>
      </c>
      <c r="D410" s="2" t="s">
        <v>137</v>
      </c>
      <c r="E410" s="48">
        <v>1</v>
      </c>
      <c r="F410" s="27" t="s">
        <v>98</v>
      </c>
      <c r="G410" s="49">
        <f>VLOOKUP(C:C,yedekparca!A:D,3,0)</f>
        <v>13.439276999999999</v>
      </c>
      <c r="H410" s="49">
        <f t="shared" si="5"/>
        <v>13.439276999999999</v>
      </c>
    </row>
    <row r="411" spans="1:8" outlineLevel="2" x14ac:dyDescent="0.25">
      <c r="A411" s="1" t="s">
        <v>407</v>
      </c>
      <c r="B411" s="1"/>
      <c r="C411" s="28" t="s">
        <v>11</v>
      </c>
      <c r="D411" s="28" t="s">
        <v>12</v>
      </c>
      <c r="E411" s="48">
        <v>1</v>
      </c>
      <c r="F411" s="27" t="s">
        <v>98</v>
      </c>
      <c r="G411" s="49">
        <f>VLOOKUP(C:C,yedekparca!A:D,3,0)</f>
        <v>69.767441860465112</v>
      </c>
      <c r="H411" s="49">
        <f t="shared" si="5"/>
        <v>69.767441860465112</v>
      </c>
    </row>
    <row r="412" spans="1:8" outlineLevel="1" x14ac:dyDescent="0.25">
      <c r="A412" s="1">
        <f>SUBTOTAL(9,A409:A411)</f>
        <v>0</v>
      </c>
      <c r="B412" s="1"/>
      <c r="C412" s="28"/>
      <c r="D412" s="28"/>
      <c r="E412" s="48"/>
      <c r="F412" s="27"/>
      <c r="G412" s="50" t="s">
        <v>410</v>
      </c>
      <c r="H412" s="49">
        <f>SUBTOTAL(9,H409:H411)</f>
        <v>90.602067697674414</v>
      </c>
    </row>
    <row r="413" spans="1:8" outlineLevel="2" x14ac:dyDescent="0.25">
      <c r="A413" s="1" t="s">
        <v>411</v>
      </c>
      <c r="B413" s="1"/>
      <c r="C413" s="1" t="s">
        <v>23</v>
      </c>
      <c r="D413" s="1" t="s">
        <v>24</v>
      </c>
      <c r="E413" s="48">
        <v>2</v>
      </c>
      <c r="F413" s="27" t="s">
        <v>103</v>
      </c>
      <c r="G413" s="49">
        <f>VLOOKUP(C:C,yedekparca!A:D,3,0)</f>
        <v>3.6976744186046511</v>
      </c>
      <c r="H413" s="49">
        <f t="shared" si="5"/>
        <v>7.3953488372093021</v>
      </c>
    </row>
    <row r="414" spans="1:8" outlineLevel="2" x14ac:dyDescent="0.25">
      <c r="A414" s="1" t="s">
        <v>411</v>
      </c>
      <c r="B414" s="1"/>
      <c r="C414" s="2" t="s">
        <v>19</v>
      </c>
      <c r="D414" s="1" t="s">
        <v>186</v>
      </c>
      <c r="E414" s="48">
        <v>32.799999999999997</v>
      </c>
      <c r="F414" s="27" t="s">
        <v>103</v>
      </c>
      <c r="G414" s="49">
        <f>VLOOKUP(C:C,yedekparca!A:D,3,0)</f>
        <v>2.6911627906976743</v>
      </c>
      <c r="H414" s="49">
        <f t="shared" si="5"/>
        <v>88.270139534883711</v>
      </c>
    </row>
    <row r="415" spans="1:8" outlineLevel="2" x14ac:dyDescent="0.25">
      <c r="A415" s="1" t="s">
        <v>411</v>
      </c>
      <c r="B415" s="1"/>
      <c r="C415" s="29" t="s">
        <v>152</v>
      </c>
      <c r="D415" s="2" t="s">
        <v>137</v>
      </c>
      <c r="E415" s="48">
        <v>1</v>
      </c>
      <c r="F415" s="27" t="s">
        <v>98</v>
      </c>
      <c r="G415" s="49">
        <f>VLOOKUP(C:C,yedekparca!A:D,3,0)</f>
        <v>13.439276999999999</v>
      </c>
      <c r="H415" s="49">
        <f t="shared" si="5"/>
        <v>13.439276999999999</v>
      </c>
    </row>
    <row r="416" spans="1:8" outlineLevel="2" x14ac:dyDescent="0.25">
      <c r="A416" s="1" t="s">
        <v>411</v>
      </c>
      <c r="B416" s="1"/>
      <c r="C416" s="30" t="s">
        <v>153</v>
      </c>
      <c r="D416" s="1" t="s">
        <v>142</v>
      </c>
      <c r="E416" s="48">
        <v>1</v>
      </c>
      <c r="F416" s="27" t="s">
        <v>98</v>
      </c>
      <c r="G416" s="49">
        <f>VLOOKUP(C:C,yedekparca!A:D,3,0)</f>
        <v>11.316338999999999</v>
      </c>
      <c r="H416" s="49">
        <f t="shared" si="5"/>
        <v>11.316338999999999</v>
      </c>
    </row>
    <row r="417" spans="1:8" outlineLevel="2" x14ac:dyDescent="0.25">
      <c r="A417" s="1" t="s">
        <v>411</v>
      </c>
      <c r="B417" s="1"/>
      <c r="C417" s="2" t="s">
        <v>17</v>
      </c>
      <c r="D417" s="1" t="s">
        <v>18</v>
      </c>
      <c r="E417" s="48">
        <v>0.5</v>
      </c>
      <c r="F417" s="27" t="s">
        <v>103</v>
      </c>
      <c r="G417" s="49">
        <f>VLOOKUP(C:C,yedekparca!A:D,3,0)</f>
        <v>2.8069767441860467</v>
      </c>
      <c r="H417" s="49">
        <f t="shared" si="5"/>
        <v>1.4034883720930234</v>
      </c>
    </row>
    <row r="418" spans="1:8" outlineLevel="2" x14ac:dyDescent="0.25">
      <c r="A418" s="1" t="s">
        <v>411</v>
      </c>
      <c r="B418" s="1"/>
      <c r="C418" s="28" t="s">
        <v>13</v>
      </c>
      <c r="D418" s="28" t="s">
        <v>14</v>
      </c>
      <c r="E418" s="48">
        <v>1</v>
      </c>
      <c r="F418" s="27" t="s">
        <v>98</v>
      </c>
      <c r="G418" s="49">
        <f>VLOOKUP(C:C,yedekparca!A:D,3,0)</f>
        <v>104.65116279069767</v>
      </c>
      <c r="H418" s="49">
        <f t="shared" si="5"/>
        <v>104.65116279069767</v>
      </c>
    </row>
    <row r="419" spans="1:8" outlineLevel="1" x14ac:dyDescent="0.25">
      <c r="A419" s="1">
        <f>SUBTOTAL(9,A413:A418)</f>
        <v>0</v>
      </c>
      <c r="B419" s="1"/>
      <c r="C419" s="28"/>
      <c r="D419" s="28"/>
      <c r="E419" s="48"/>
      <c r="F419" s="27"/>
      <c r="G419" s="50" t="s">
        <v>412</v>
      </c>
      <c r="H419" s="49">
        <f>SUBTOTAL(9,H413:H418)</f>
        <v>226.47575553488372</v>
      </c>
    </row>
    <row r="420" spans="1:8" outlineLevel="2" x14ac:dyDescent="0.25">
      <c r="A420" s="1" t="s">
        <v>479</v>
      </c>
      <c r="B420" s="1"/>
      <c r="C420" s="1" t="s">
        <v>23</v>
      </c>
      <c r="D420" s="1" t="s">
        <v>24</v>
      </c>
      <c r="E420" s="48">
        <v>2</v>
      </c>
      <c r="F420" s="27" t="s">
        <v>103</v>
      </c>
      <c r="G420" s="49">
        <f>VLOOKUP(C:C,yedekparca!A:D,3,0)</f>
        <v>3.6976744186046511</v>
      </c>
      <c r="H420" s="49">
        <f t="shared" ref="H420:H421" si="6">E420*G420</f>
        <v>7.3953488372093021</v>
      </c>
    </row>
    <row r="421" spans="1:8" outlineLevel="2" x14ac:dyDescent="0.25">
      <c r="A421" s="1" t="s">
        <v>479</v>
      </c>
      <c r="B421" s="1"/>
      <c r="C421" s="28" t="s">
        <v>9</v>
      </c>
      <c r="D421" s="28" t="s">
        <v>10</v>
      </c>
      <c r="E421" s="48">
        <v>1</v>
      </c>
      <c r="F421" s="27" t="s">
        <v>98</v>
      </c>
      <c r="G421" s="49">
        <f>VLOOKUP(C:C,yedekparca!A:D,3,0)</f>
        <v>58.139534883720927</v>
      </c>
      <c r="H421" s="49">
        <f t="shared" si="6"/>
        <v>58.139534883720927</v>
      </c>
    </row>
    <row r="422" spans="1:8" outlineLevel="1" x14ac:dyDescent="0.25">
      <c r="A422" s="1">
        <f>SUBTOTAL(9,A420:A421)</f>
        <v>0</v>
      </c>
      <c r="B422" s="1"/>
      <c r="C422" s="28"/>
      <c r="D422" s="28"/>
      <c r="E422" s="48"/>
      <c r="F422" s="27"/>
      <c r="G422" s="50" t="s">
        <v>486</v>
      </c>
      <c r="H422" s="49">
        <f>SUBTOTAL(9,H420:H421)</f>
        <v>65.534883720930225</v>
      </c>
    </row>
    <row r="423" spans="1:8" outlineLevel="2" x14ac:dyDescent="0.25">
      <c r="A423" s="1" t="s">
        <v>480</v>
      </c>
      <c r="B423" s="1"/>
      <c r="C423" s="1" t="s">
        <v>23</v>
      </c>
      <c r="D423" s="1" t="s">
        <v>24</v>
      </c>
      <c r="E423" s="48">
        <v>2</v>
      </c>
      <c r="F423" s="27" t="s">
        <v>103</v>
      </c>
      <c r="G423" s="49">
        <f>VLOOKUP(C:C,yedekparca!A:D,3,0)</f>
        <v>3.6976744186046511</v>
      </c>
      <c r="H423" s="49">
        <f t="shared" ref="H423:H425" si="7">E423*G423</f>
        <v>7.3953488372093021</v>
      </c>
    </row>
    <row r="424" spans="1:8" outlineLevel="2" x14ac:dyDescent="0.25">
      <c r="A424" s="1" t="s">
        <v>480</v>
      </c>
      <c r="B424" s="1"/>
      <c r="C424" s="29" t="s">
        <v>152</v>
      </c>
      <c r="D424" s="2" t="s">
        <v>137</v>
      </c>
      <c r="E424" s="48">
        <v>1</v>
      </c>
      <c r="F424" s="27" t="s">
        <v>98</v>
      </c>
      <c r="G424" s="49">
        <f>VLOOKUP(C:C,yedekparca!A:D,3,0)</f>
        <v>13.439276999999999</v>
      </c>
      <c r="H424" s="49">
        <f t="shared" si="7"/>
        <v>13.439276999999999</v>
      </c>
    </row>
    <row r="425" spans="1:8" outlineLevel="2" x14ac:dyDescent="0.25">
      <c r="A425" s="1" t="s">
        <v>480</v>
      </c>
      <c r="B425" s="1"/>
      <c r="C425" s="28" t="s">
        <v>11</v>
      </c>
      <c r="D425" s="28" t="s">
        <v>12</v>
      </c>
      <c r="E425" s="48">
        <v>1</v>
      </c>
      <c r="F425" s="27" t="s">
        <v>98</v>
      </c>
      <c r="G425" s="49">
        <f>VLOOKUP(C:C,yedekparca!A:D,3,0)</f>
        <v>69.767441860465112</v>
      </c>
      <c r="H425" s="49">
        <f t="shared" si="7"/>
        <v>69.767441860465112</v>
      </c>
    </row>
    <row r="426" spans="1:8" outlineLevel="1" x14ac:dyDescent="0.25">
      <c r="A426" s="1">
        <f>SUBTOTAL(9,A423:A425)</f>
        <v>0</v>
      </c>
      <c r="B426" s="1"/>
      <c r="C426" s="28"/>
      <c r="D426" s="28"/>
      <c r="E426" s="48"/>
      <c r="F426" s="27"/>
      <c r="G426" s="50" t="s">
        <v>487</v>
      </c>
      <c r="H426" s="49">
        <f>SUBTOTAL(9,H423:H425)</f>
        <v>90.602067697674414</v>
      </c>
    </row>
    <row r="427" spans="1:8" outlineLevel="2" x14ac:dyDescent="0.25">
      <c r="A427" s="1" t="s">
        <v>481</v>
      </c>
      <c r="B427" s="1"/>
      <c r="C427" s="1" t="s">
        <v>23</v>
      </c>
      <c r="D427" s="1" t="s">
        <v>24</v>
      </c>
      <c r="E427" s="48">
        <v>2</v>
      </c>
      <c r="F427" s="27" t="s">
        <v>103</v>
      </c>
      <c r="G427" s="49">
        <f>VLOOKUP(C:C,yedekparca!A:D,3,0)</f>
        <v>3.6976744186046511</v>
      </c>
      <c r="H427" s="49">
        <f t="shared" ref="H427:H432" si="8">E427*G427</f>
        <v>7.3953488372093021</v>
      </c>
    </row>
    <row r="428" spans="1:8" outlineLevel="2" x14ac:dyDescent="0.25">
      <c r="A428" s="1" t="s">
        <v>481</v>
      </c>
      <c r="B428" s="1"/>
      <c r="C428" s="2" t="s">
        <v>19</v>
      </c>
      <c r="D428" s="1" t="s">
        <v>186</v>
      </c>
      <c r="E428" s="48">
        <v>32.799999999999997</v>
      </c>
      <c r="F428" s="27" t="s">
        <v>103</v>
      </c>
      <c r="G428" s="49">
        <f>VLOOKUP(C:C,yedekparca!A:D,3,0)</f>
        <v>2.6911627906976743</v>
      </c>
      <c r="H428" s="49">
        <f t="shared" si="8"/>
        <v>88.270139534883711</v>
      </c>
    </row>
    <row r="429" spans="1:8" outlineLevel="2" x14ac:dyDescent="0.25">
      <c r="A429" s="1" t="s">
        <v>482</v>
      </c>
      <c r="B429" s="1"/>
      <c r="C429" s="29" t="s">
        <v>152</v>
      </c>
      <c r="D429" s="2" t="s">
        <v>137</v>
      </c>
      <c r="E429" s="48">
        <v>1</v>
      </c>
      <c r="F429" s="27" t="s">
        <v>98</v>
      </c>
      <c r="G429" s="49">
        <f>VLOOKUP(C:C,yedekparca!A:D,3,0)</f>
        <v>13.439276999999999</v>
      </c>
      <c r="H429" s="49">
        <f t="shared" si="8"/>
        <v>13.439276999999999</v>
      </c>
    </row>
    <row r="430" spans="1:8" outlineLevel="2" x14ac:dyDescent="0.25">
      <c r="A430" s="1" t="s">
        <v>482</v>
      </c>
      <c r="B430" s="1"/>
      <c r="C430" s="30" t="s">
        <v>153</v>
      </c>
      <c r="D430" s="1" t="s">
        <v>142</v>
      </c>
      <c r="E430" s="48">
        <v>1</v>
      </c>
      <c r="F430" s="27" t="s">
        <v>98</v>
      </c>
      <c r="G430" s="49">
        <f>VLOOKUP(C:C,yedekparca!A:D,3,0)</f>
        <v>11.316338999999999</v>
      </c>
      <c r="H430" s="49">
        <f t="shared" si="8"/>
        <v>11.316338999999999</v>
      </c>
    </row>
    <row r="431" spans="1:8" outlineLevel="2" x14ac:dyDescent="0.25">
      <c r="A431" s="1" t="s">
        <v>482</v>
      </c>
      <c r="B431" s="1"/>
      <c r="C431" s="2" t="s">
        <v>17</v>
      </c>
      <c r="D431" s="1" t="s">
        <v>18</v>
      </c>
      <c r="E431" s="48">
        <v>0.5</v>
      </c>
      <c r="F431" s="27" t="s">
        <v>103</v>
      </c>
      <c r="G431" s="49">
        <f>VLOOKUP(C:C,yedekparca!A:D,3,0)</f>
        <v>2.8069767441860467</v>
      </c>
      <c r="H431" s="49">
        <f t="shared" si="8"/>
        <v>1.4034883720930234</v>
      </c>
    </row>
    <row r="432" spans="1:8" outlineLevel="2" x14ac:dyDescent="0.25">
      <c r="A432" s="1" t="s">
        <v>482</v>
      </c>
      <c r="B432" s="1"/>
      <c r="C432" s="28" t="s">
        <v>13</v>
      </c>
      <c r="D432" s="28" t="s">
        <v>14</v>
      </c>
      <c r="E432" s="48">
        <v>1</v>
      </c>
      <c r="F432" s="27" t="s">
        <v>98</v>
      </c>
      <c r="G432" s="49">
        <f>VLOOKUP(C:C,yedekparca!A:D,3,0)</f>
        <v>104.65116279069767</v>
      </c>
      <c r="H432" s="49">
        <f t="shared" si="8"/>
        <v>104.65116279069767</v>
      </c>
    </row>
    <row r="433" spans="1:8" outlineLevel="1" x14ac:dyDescent="0.25">
      <c r="A433" s="1">
        <f>SUBTOTAL(9,A427:A432)</f>
        <v>0</v>
      </c>
      <c r="B433" s="1"/>
      <c r="C433" s="28"/>
      <c r="D433" s="28"/>
      <c r="E433" s="48"/>
      <c r="F433" s="27"/>
      <c r="G433" s="50" t="s">
        <v>488</v>
      </c>
      <c r="H433" s="49">
        <f>SUBTOTAL(9,H427:H432)</f>
        <v>226.47575553488372</v>
      </c>
    </row>
    <row r="434" spans="1:8" outlineLevel="2" x14ac:dyDescent="0.25">
      <c r="A434" s="1" t="s">
        <v>281</v>
      </c>
      <c r="B434" s="1"/>
      <c r="C434" s="1" t="s">
        <v>23</v>
      </c>
      <c r="D434" s="1" t="s">
        <v>24</v>
      </c>
      <c r="E434" s="48">
        <v>2</v>
      </c>
      <c r="F434" s="27" t="s">
        <v>103</v>
      </c>
      <c r="G434" s="49">
        <f>VLOOKUP(C:C,yedekparca!A:D,3,0)</f>
        <v>3.6976744186046511</v>
      </c>
      <c r="H434" s="49">
        <f t="shared" si="5"/>
        <v>7.3953488372093021</v>
      </c>
    </row>
    <row r="435" spans="1:8" outlineLevel="2" x14ac:dyDescent="0.25">
      <c r="A435" s="1" t="s">
        <v>281</v>
      </c>
      <c r="B435" s="1"/>
      <c r="C435" s="28" t="s">
        <v>9</v>
      </c>
      <c r="D435" s="28" t="s">
        <v>10</v>
      </c>
      <c r="E435" s="48">
        <v>1</v>
      </c>
      <c r="F435" s="27" t="s">
        <v>98</v>
      </c>
      <c r="G435" s="49">
        <f>VLOOKUP(C:C,yedekparca!A:D,3,0)</f>
        <v>58.139534883720927</v>
      </c>
      <c r="H435" s="49">
        <f t="shared" si="5"/>
        <v>58.139534883720927</v>
      </c>
    </row>
    <row r="436" spans="1:8" outlineLevel="1" x14ac:dyDescent="0.25">
      <c r="A436" s="1">
        <f>SUBTOTAL(9,A434:A435)</f>
        <v>0</v>
      </c>
      <c r="B436" s="1"/>
      <c r="C436" s="28"/>
      <c r="D436" s="28"/>
      <c r="E436" s="48"/>
      <c r="F436" s="27"/>
      <c r="G436" s="50" t="s">
        <v>321</v>
      </c>
      <c r="H436" s="49">
        <f>SUBTOTAL(9,H434:H435)</f>
        <v>65.534883720930225</v>
      </c>
    </row>
    <row r="437" spans="1:8" outlineLevel="2" x14ac:dyDescent="0.25">
      <c r="A437" s="1" t="s">
        <v>282</v>
      </c>
      <c r="B437" s="1"/>
      <c r="C437" s="1" t="s">
        <v>23</v>
      </c>
      <c r="D437" s="1" t="s">
        <v>24</v>
      </c>
      <c r="E437" s="48">
        <v>2</v>
      </c>
      <c r="F437" s="27" t="s">
        <v>103</v>
      </c>
      <c r="G437" s="49">
        <f>VLOOKUP(C:C,yedekparca!A:D,3,0)</f>
        <v>3.6976744186046511</v>
      </c>
      <c r="H437" s="49">
        <f t="shared" si="5"/>
        <v>7.3953488372093021</v>
      </c>
    </row>
    <row r="438" spans="1:8" outlineLevel="2" x14ac:dyDescent="0.25">
      <c r="A438" s="1" t="s">
        <v>282</v>
      </c>
      <c r="B438" s="1"/>
      <c r="C438" s="29" t="s">
        <v>145</v>
      </c>
      <c r="D438" s="2" t="s">
        <v>137</v>
      </c>
      <c r="E438" s="48">
        <v>1</v>
      </c>
      <c r="F438" s="27" t="s">
        <v>98</v>
      </c>
      <c r="G438" s="49">
        <f>VLOOKUP(C:C,yedekparca!A:D,3,0)</f>
        <v>49.996988999999999</v>
      </c>
      <c r="H438" s="49">
        <f t="shared" si="5"/>
        <v>49.996988999999999</v>
      </c>
    </row>
    <row r="439" spans="1:8" outlineLevel="2" x14ac:dyDescent="0.25">
      <c r="A439" s="1" t="s">
        <v>282</v>
      </c>
      <c r="B439" s="1"/>
      <c r="C439" s="28" t="s">
        <v>11</v>
      </c>
      <c r="D439" s="28" t="s">
        <v>12</v>
      </c>
      <c r="E439" s="48">
        <v>1</v>
      </c>
      <c r="F439" s="27" t="s">
        <v>98</v>
      </c>
      <c r="G439" s="49">
        <f>VLOOKUP(C:C,yedekparca!A:D,3,0)</f>
        <v>69.767441860465112</v>
      </c>
      <c r="H439" s="49">
        <f t="shared" si="5"/>
        <v>69.767441860465112</v>
      </c>
    </row>
    <row r="440" spans="1:8" outlineLevel="1" x14ac:dyDescent="0.25">
      <c r="A440" s="1">
        <f>SUBTOTAL(9,A437:A439)</f>
        <v>0</v>
      </c>
      <c r="B440" s="1"/>
      <c r="C440" s="28"/>
      <c r="D440" s="28"/>
      <c r="E440" s="48"/>
      <c r="F440" s="27"/>
      <c r="G440" s="50" t="s">
        <v>322</v>
      </c>
      <c r="H440" s="49">
        <f>SUBTOTAL(9,H437:H439)</f>
        <v>127.15977969767442</v>
      </c>
    </row>
    <row r="441" spans="1:8" outlineLevel="2" x14ac:dyDescent="0.25">
      <c r="A441" s="1" t="s">
        <v>283</v>
      </c>
      <c r="B441" s="1"/>
      <c r="C441" s="1" t="s">
        <v>23</v>
      </c>
      <c r="D441" s="1" t="s">
        <v>24</v>
      </c>
      <c r="E441" s="48">
        <v>2</v>
      </c>
      <c r="F441" s="27" t="s">
        <v>103</v>
      </c>
      <c r="G441" s="49">
        <f>VLOOKUP(C:C,yedekparca!A:D,3,0)</f>
        <v>3.6976744186046511</v>
      </c>
      <c r="H441" s="49">
        <f t="shared" si="5"/>
        <v>7.3953488372093021</v>
      </c>
    </row>
    <row r="442" spans="1:8" outlineLevel="2" x14ac:dyDescent="0.25">
      <c r="A442" s="1" t="s">
        <v>283</v>
      </c>
      <c r="B442" s="1"/>
      <c r="C442" s="2" t="s">
        <v>19</v>
      </c>
      <c r="D442" s="1" t="s">
        <v>186</v>
      </c>
      <c r="E442" s="48">
        <v>32.799999999999997</v>
      </c>
      <c r="F442" s="27" t="s">
        <v>103</v>
      </c>
      <c r="G442" s="49">
        <f>VLOOKUP(C:C,yedekparca!A:D,3,0)</f>
        <v>2.6911627906976743</v>
      </c>
      <c r="H442" s="49">
        <f t="shared" si="5"/>
        <v>88.270139534883711</v>
      </c>
    </row>
    <row r="443" spans="1:8" outlineLevel="2" x14ac:dyDescent="0.25">
      <c r="A443" s="1" t="s">
        <v>283</v>
      </c>
      <c r="B443" s="1"/>
      <c r="C443" s="29" t="s">
        <v>145</v>
      </c>
      <c r="D443" s="2" t="s">
        <v>137</v>
      </c>
      <c r="E443" s="48">
        <v>1</v>
      </c>
      <c r="F443" s="27" t="s">
        <v>98</v>
      </c>
      <c r="G443" s="49">
        <f>VLOOKUP(C:C,yedekparca!A:D,3,0)</f>
        <v>49.996988999999999</v>
      </c>
      <c r="H443" s="49">
        <f t="shared" si="5"/>
        <v>49.996988999999999</v>
      </c>
    </row>
    <row r="444" spans="1:8" outlineLevel="2" x14ac:dyDescent="0.25">
      <c r="A444" s="1" t="s">
        <v>283</v>
      </c>
      <c r="B444" s="1"/>
      <c r="C444" s="30" t="s">
        <v>153</v>
      </c>
      <c r="D444" s="1" t="s">
        <v>142</v>
      </c>
      <c r="E444" s="48">
        <v>1</v>
      </c>
      <c r="F444" s="27" t="s">
        <v>98</v>
      </c>
      <c r="G444" s="49">
        <f>VLOOKUP(C:C,yedekparca!A:D,3,0)</f>
        <v>11.316338999999999</v>
      </c>
      <c r="H444" s="49">
        <f t="shared" si="5"/>
        <v>11.316338999999999</v>
      </c>
    </row>
    <row r="445" spans="1:8" outlineLevel="2" x14ac:dyDescent="0.25">
      <c r="A445" s="1" t="s">
        <v>283</v>
      </c>
      <c r="B445" s="1"/>
      <c r="C445" s="31" t="s">
        <v>66</v>
      </c>
      <c r="D445" s="1" t="s">
        <v>147</v>
      </c>
      <c r="E445" s="48">
        <v>1</v>
      </c>
      <c r="F445" s="27" t="s">
        <v>98</v>
      </c>
      <c r="G445" s="49">
        <f>VLOOKUP(C:C,yedekparca!A:D,3,0)</f>
        <v>3.3823079999999996</v>
      </c>
      <c r="H445" s="49">
        <f t="shared" si="5"/>
        <v>3.3823079999999996</v>
      </c>
    </row>
    <row r="446" spans="1:8" outlineLevel="2" x14ac:dyDescent="0.25">
      <c r="A446" s="1" t="s">
        <v>283</v>
      </c>
      <c r="B446" s="1"/>
      <c r="C446" s="2" t="s">
        <v>17</v>
      </c>
      <c r="D446" s="1" t="s">
        <v>18</v>
      </c>
      <c r="E446" s="48">
        <v>0.5</v>
      </c>
      <c r="F446" s="27" t="s">
        <v>103</v>
      </c>
      <c r="G446" s="49">
        <f>VLOOKUP(C:C,yedekparca!A:D,3,0)</f>
        <v>2.8069767441860467</v>
      </c>
      <c r="H446" s="49">
        <f t="shared" si="5"/>
        <v>1.4034883720930234</v>
      </c>
    </row>
    <row r="447" spans="1:8" outlineLevel="2" x14ac:dyDescent="0.25">
      <c r="A447" s="1" t="s">
        <v>283</v>
      </c>
      <c r="B447" s="1"/>
      <c r="C447" s="28" t="s">
        <v>13</v>
      </c>
      <c r="D447" s="28" t="s">
        <v>14</v>
      </c>
      <c r="E447" s="48">
        <v>1</v>
      </c>
      <c r="F447" s="27" t="s">
        <v>98</v>
      </c>
      <c r="G447" s="49">
        <f>VLOOKUP(C:C,yedekparca!A:D,3,0)</f>
        <v>104.65116279069767</v>
      </c>
      <c r="H447" s="49">
        <f t="shared" ref="H447:H479" si="9">E447*G447</f>
        <v>104.65116279069767</v>
      </c>
    </row>
    <row r="448" spans="1:8" outlineLevel="1" x14ac:dyDescent="0.25">
      <c r="A448" s="1">
        <f>SUBTOTAL(9,A441:A447)</f>
        <v>0</v>
      </c>
      <c r="B448" s="1"/>
      <c r="C448" s="28"/>
      <c r="D448" s="28"/>
      <c r="E448" s="48"/>
      <c r="F448" s="27"/>
      <c r="G448" s="50" t="s">
        <v>323</v>
      </c>
      <c r="H448" s="49">
        <f>SUBTOTAL(9,H441:H447)</f>
        <v>266.41577553488366</v>
      </c>
    </row>
    <row r="449" spans="1:8" outlineLevel="2" x14ac:dyDescent="0.25">
      <c r="A449" s="1" t="s">
        <v>285</v>
      </c>
      <c r="B449" s="1"/>
      <c r="C449" s="1" t="s">
        <v>23</v>
      </c>
      <c r="D449" s="1" t="s">
        <v>24</v>
      </c>
      <c r="E449" s="48">
        <v>3</v>
      </c>
      <c r="F449" s="27" t="s">
        <v>103</v>
      </c>
      <c r="G449" s="49">
        <f>VLOOKUP(C:C,yedekparca!A:D,3,0)</f>
        <v>3.6976744186046511</v>
      </c>
      <c r="H449" s="49">
        <f t="shared" si="9"/>
        <v>11.093023255813954</v>
      </c>
    </row>
    <row r="450" spans="1:8" outlineLevel="2" x14ac:dyDescent="0.25">
      <c r="A450" s="1" t="s">
        <v>285</v>
      </c>
      <c r="B450" s="1"/>
      <c r="C450" s="28" t="s">
        <v>9</v>
      </c>
      <c r="D450" s="28" t="s">
        <v>10</v>
      </c>
      <c r="E450" s="48">
        <v>1</v>
      </c>
      <c r="F450" s="27" t="s">
        <v>98</v>
      </c>
      <c r="G450" s="49">
        <f>VLOOKUP(C:C,yedekparca!A:D,3,0)</f>
        <v>58.139534883720927</v>
      </c>
      <c r="H450" s="49">
        <f t="shared" si="9"/>
        <v>58.139534883720927</v>
      </c>
    </row>
    <row r="451" spans="1:8" outlineLevel="1" x14ac:dyDescent="0.25">
      <c r="A451" s="1">
        <f>SUBTOTAL(9,A449:A450)</f>
        <v>0</v>
      </c>
      <c r="B451" s="1"/>
      <c r="C451" s="28"/>
      <c r="D451" s="28"/>
      <c r="E451" s="48"/>
      <c r="F451" s="27"/>
      <c r="G451" s="50" t="s">
        <v>324</v>
      </c>
      <c r="H451" s="49">
        <f>SUBTOTAL(9,H449:H450)</f>
        <v>69.232558139534888</v>
      </c>
    </row>
    <row r="452" spans="1:8" outlineLevel="2" x14ac:dyDescent="0.25">
      <c r="A452" s="1" t="s">
        <v>284</v>
      </c>
      <c r="B452" s="1"/>
      <c r="C452" s="1" t="s">
        <v>23</v>
      </c>
      <c r="D452" s="1" t="s">
        <v>24</v>
      </c>
      <c r="E452" s="48">
        <v>3</v>
      </c>
      <c r="F452" s="27" t="s">
        <v>103</v>
      </c>
      <c r="G452" s="49">
        <f>VLOOKUP(C:C,yedekparca!A:D,3,0)</f>
        <v>3.6976744186046511</v>
      </c>
      <c r="H452" s="49">
        <f t="shared" si="9"/>
        <v>11.093023255813954</v>
      </c>
    </row>
    <row r="453" spans="1:8" outlineLevel="2" x14ac:dyDescent="0.25">
      <c r="A453" s="1" t="s">
        <v>284</v>
      </c>
      <c r="B453" s="1"/>
      <c r="C453" s="2" t="s">
        <v>136</v>
      </c>
      <c r="D453" s="2" t="s">
        <v>137</v>
      </c>
      <c r="E453" s="48">
        <v>1</v>
      </c>
      <c r="F453" s="27" t="s">
        <v>98</v>
      </c>
      <c r="G453" s="49">
        <f>VLOOKUP(C:C,yedekparca!A:D,3,0)</f>
        <v>15.886052999999999</v>
      </c>
      <c r="H453" s="49">
        <f t="shared" si="9"/>
        <v>15.886052999999999</v>
      </c>
    </row>
    <row r="454" spans="1:8" outlineLevel="2" x14ac:dyDescent="0.25">
      <c r="A454" s="1" t="s">
        <v>284</v>
      </c>
      <c r="B454" s="1"/>
      <c r="C454" s="28" t="s">
        <v>11</v>
      </c>
      <c r="D454" s="28" t="s">
        <v>12</v>
      </c>
      <c r="E454" s="48">
        <v>1</v>
      </c>
      <c r="F454" s="27" t="s">
        <v>98</v>
      </c>
      <c r="G454" s="49">
        <f>VLOOKUP(C:C,yedekparca!A:D,3,0)</f>
        <v>69.767441860465112</v>
      </c>
      <c r="H454" s="49">
        <f t="shared" si="9"/>
        <v>69.767441860465112</v>
      </c>
    </row>
    <row r="455" spans="1:8" outlineLevel="1" x14ac:dyDescent="0.25">
      <c r="A455" s="1">
        <f>SUBTOTAL(9,A452:A454)</f>
        <v>0</v>
      </c>
      <c r="B455" s="1"/>
      <c r="C455" s="28"/>
      <c r="D455" s="28"/>
      <c r="E455" s="48"/>
      <c r="F455" s="27"/>
      <c r="G455" s="50" t="s">
        <v>325</v>
      </c>
      <c r="H455" s="49">
        <f>SUBTOTAL(9,H452:H454)</f>
        <v>96.746518116279063</v>
      </c>
    </row>
    <row r="456" spans="1:8" outlineLevel="2" x14ac:dyDescent="0.25">
      <c r="A456" s="1" t="s">
        <v>286</v>
      </c>
      <c r="B456" s="1"/>
      <c r="C456" s="1" t="s">
        <v>23</v>
      </c>
      <c r="D456" s="1" t="s">
        <v>24</v>
      </c>
      <c r="E456" s="48">
        <v>3</v>
      </c>
      <c r="F456" s="27" t="s">
        <v>103</v>
      </c>
      <c r="G456" s="49">
        <f>VLOOKUP(C:C,yedekparca!A:D,3,0)</f>
        <v>3.6976744186046511</v>
      </c>
      <c r="H456" s="49">
        <f t="shared" si="9"/>
        <v>11.093023255813954</v>
      </c>
    </row>
    <row r="457" spans="1:8" outlineLevel="2" x14ac:dyDescent="0.25">
      <c r="A457" s="1" t="s">
        <v>286</v>
      </c>
      <c r="B457" s="1"/>
      <c r="C457" s="2" t="s">
        <v>19</v>
      </c>
      <c r="D457" s="1" t="s">
        <v>186</v>
      </c>
      <c r="E457" s="48">
        <v>45</v>
      </c>
      <c r="F457" s="27" t="s">
        <v>103</v>
      </c>
      <c r="G457" s="49">
        <f>VLOOKUP(C:C,yedekparca!A:D,3,0)</f>
        <v>2.6911627906976743</v>
      </c>
      <c r="H457" s="49">
        <f t="shared" si="9"/>
        <v>121.10232558139535</v>
      </c>
    </row>
    <row r="458" spans="1:8" outlineLevel="2" x14ac:dyDescent="0.25">
      <c r="A458" s="1" t="s">
        <v>286</v>
      </c>
      <c r="B458" s="1"/>
      <c r="C458" s="2" t="s">
        <v>136</v>
      </c>
      <c r="D458" s="2" t="s">
        <v>137</v>
      </c>
      <c r="E458" s="48">
        <v>1</v>
      </c>
      <c r="F458" s="27" t="s">
        <v>98</v>
      </c>
      <c r="G458" s="49">
        <f>VLOOKUP(C:C,yedekparca!A:D,3,0)</f>
        <v>15.886052999999999</v>
      </c>
      <c r="H458" s="49">
        <f t="shared" si="9"/>
        <v>15.886052999999999</v>
      </c>
    </row>
    <row r="459" spans="1:8" outlineLevel="2" x14ac:dyDescent="0.25">
      <c r="A459" s="1" t="s">
        <v>286</v>
      </c>
      <c r="B459" s="1"/>
      <c r="C459" s="31" t="s">
        <v>102</v>
      </c>
      <c r="D459" s="1" t="s">
        <v>142</v>
      </c>
      <c r="E459" s="48">
        <v>1</v>
      </c>
      <c r="F459" s="27" t="s">
        <v>98</v>
      </c>
      <c r="G459" s="49">
        <f>VLOOKUP(C:C,yedekparca!A:D,3,0)</f>
        <v>22.524731999999997</v>
      </c>
      <c r="H459" s="49">
        <f t="shared" si="9"/>
        <v>22.524731999999997</v>
      </c>
    </row>
    <row r="460" spans="1:8" outlineLevel="2" x14ac:dyDescent="0.25">
      <c r="A460" s="1" t="s">
        <v>286</v>
      </c>
      <c r="B460" s="1"/>
      <c r="C460" s="31" t="s">
        <v>66</v>
      </c>
      <c r="D460" s="1" t="s">
        <v>147</v>
      </c>
      <c r="E460" s="48">
        <v>1</v>
      </c>
      <c r="F460" s="27" t="s">
        <v>98</v>
      </c>
      <c r="G460" s="49">
        <f>VLOOKUP(C:C,yedekparca!A:D,3,0)</f>
        <v>3.3823079999999996</v>
      </c>
      <c r="H460" s="49">
        <f t="shared" si="9"/>
        <v>3.3823079999999996</v>
      </c>
    </row>
    <row r="461" spans="1:8" outlineLevel="2" x14ac:dyDescent="0.25">
      <c r="A461" s="1" t="s">
        <v>286</v>
      </c>
      <c r="B461" s="1"/>
      <c r="C461" s="1" t="s">
        <v>25</v>
      </c>
      <c r="D461" s="1" t="s">
        <v>18</v>
      </c>
      <c r="E461" s="48">
        <v>0.5</v>
      </c>
      <c r="F461" s="27" t="s">
        <v>103</v>
      </c>
      <c r="G461" s="49">
        <f>VLOOKUP(C:C,yedekparca!A:D,3,0)</f>
        <v>11.255813953488373</v>
      </c>
      <c r="H461" s="49">
        <f t="shared" si="9"/>
        <v>5.6279069767441863</v>
      </c>
    </row>
    <row r="462" spans="1:8" outlineLevel="2" x14ac:dyDescent="0.25">
      <c r="A462" s="1" t="s">
        <v>286</v>
      </c>
      <c r="B462" s="1"/>
      <c r="C462" s="28" t="s">
        <v>13</v>
      </c>
      <c r="D462" s="28" t="s">
        <v>14</v>
      </c>
      <c r="E462" s="48">
        <v>1</v>
      </c>
      <c r="F462" s="27" t="s">
        <v>98</v>
      </c>
      <c r="G462" s="49">
        <f>VLOOKUP(C:C,yedekparca!A:D,3,0)</f>
        <v>104.65116279069767</v>
      </c>
      <c r="H462" s="49">
        <f t="shared" si="9"/>
        <v>104.65116279069767</v>
      </c>
    </row>
    <row r="463" spans="1:8" outlineLevel="1" x14ac:dyDescent="0.25">
      <c r="A463" s="1">
        <f>SUBTOTAL(9,A456:A462)</f>
        <v>0</v>
      </c>
      <c r="B463" s="1"/>
      <c r="C463" s="28"/>
      <c r="D463" s="28"/>
      <c r="E463" s="48"/>
      <c r="F463" s="27"/>
      <c r="G463" s="50" t="s">
        <v>326</v>
      </c>
      <c r="H463" s="49">
        <f>SUBTOTAL(9,H456:H462)</f>
        <v>284.26751160465119</v>
      </c>
    </row>
    <row r="464" spans="1:8" outlineLevel="2" x14ac:dyDescent="0.25">
      <c r="A464" s="1" t="s">
        <v>421</v>
      </c>
      <c r="B464" s="1"/>
      <c r="C464" s="2" t="s">
        <v>29</v>
      </c>
      <c r="D464" s="1" t="s">
        <v>24</v>
      </c>
      <c r="E464" s="48">
        <v>7</v>
      </c>
      <c r="F464" s="27" t="s">
        <v>103</v>
      </c>
      <c r="G464" s="49">
        <f>VLOOKUP(C:C,yedekparca!A:D,3,0)</f>
        <v>3.2558139534883721</v>
      </c>
      <c r="H464" s="49">
        <f t="shared" si="9"/>
        <v>22.790697674418606</v>
      </c>
    </row>
    <row r="465" spans="1:8" outlineLevel="2" x14ac:dyDescent="0.25">
      <c r="A465" s="1" t="s">
        <v>421</v>
      </c>
      <c r="B465" s="1"/>
      <c r="C465" s="28" t="s">
        <v>9</v>
      </c>
      <c r="D465" s="28" t="s">
        <v>10</v>
      </c>
      <c r="E465" s="48">
        <v>1</v>
      </c>
      <c r="F465" s="27" t="s">
        <v>98</v>
      </c>
      <c r="G465" s="49">
        <f>VLOOKUP(C:C,yedekparca!A:D,3,0)</f>
        <v>58.139534883720927</v>
      </c>
      <c r="H465" s="49">
        <f t="shared" si="9"/>
        <v>58.139534883720927</v>
      </c>
    </row>
    <row r="466" spans="1:8" outlineLevel="1" x14ac:dyDescent="0.25">
      <c r="A466" s="1">
        <f>SUBTOTAL(9,A464:A465)</f>
        <v>0</v>
      </c>
      <c r="B466" s="1"/>
      <c r="C466" s="28"/>
      <c r="D466" s="28"/>
      <c r="E466" s="48"/>
      <c r="F466" s="27"/>
      <c r="G466" s="50" t="s">
        <v>422</v>
      </c>
      <c r="H466" s="49">
        <f>SUBTOTAL(9,H464:H465)</f>
        <v>80.930232558139537</v>
      </c>
    </row>
    <row r="467" spans="1:8" outlineLevel="2" x14ac:dyDescent="0.25">
      <c r="A467" s="1" t="s">
        <v>423</v>
      </c>
      <c r="B467" s="1"/>
      <c r="C467" s="2" t="s">
        <v>29</v>
      </c>
      <c r="D467" s="1" t="s">
        <v>24</v>
      </c>
      <c r="E467" s="48">
        <v>7</v>
      </c>
      <c r="F467" s="27" t="s">
        <v>103</v>
      </c>
      <c r="G467" s="49">
        <f>VLOOKUP(C:C,yedekparca!A:D,3,0)</f>
        <v>3.2558139534883721</v>
      </c>
      <c r="H467" s="49">
        <f t="shared" si="9"/>
        <v>22.790697674418606</v>
      </c>
    </row>
    <row r="468" spans="1:8" outlineLevel="2" x14ac:dyDescent="0.25">
      <c r="A468" s="1" t="s">
        <v>423</v>
      </c>
      <c r="B468" s="1"/>
      <c r="C468" s="2" t="s">
        <v>148</v>
      </c>
      <c r="D468" s="1" t="s">
        <v>142</v>
      </c>
      <c r="E468" s="48">
        <v>1</v>
      </c>
      <c r="F468" s="27" t="s">
        <v>98</v>
      </c>
      <c r="G468" s="49">
        <f>VLOOKUP(C:C,yedekparca!A:D,3,0)</f>
        <v>67.304330999999991</v>
      </c>
      <c r="H468" s="49">
        <f t="shared" si="9"/>
        <v>67.304330999999991</v>
      </c>
    </row>
    <row r="469" spans="1:8" outlineLevel="2" x14ac:dyDescent="0.25">
      <c r="A469" s="1" t="s">
        <v>423</v>
      </c>
      <c r="B469" s="1"/>
      <c r="C469" s="2" t="s">
        <v>143</v>
      </c>
      <c r="D469" s="2" t="s">
        <v>137</v>
      </c>
      <c r="E469" s="48">
        <v>1</v>
      </c>
      <c r="F469" s="27" t="s">
        <v>98</v>
      </c>
      <c r="G469" s="49">
        <f>VLOOKUP(C:C,yedekparca!A:D,3,0)</f>
        <v>20.167911</v>
      </c>
      <c r="H469" s="49">
        <f t="shared" si="9"/>
        <v>20.167911</v>
      </c>
    </row>
    <row r="470" spans="1:8" outlineLevel="2" x14ac:dyDescent="0.25">
      <c r="A470" s="1" t="s">
        <v>423</v>
      </c>
      <c r="B470" s="1"/>
      <c r="C470" s="31" t="s">
        <v>72</v>
      </c>
      <c r="D470" s="1" t="s">
        <v>147</v>
      </c>
      <c r="E470" s="48">
        <v>1</v>
      </c>
      <c r="F470" s="27" t="s">
        <v>98</v>
      </c>
      <c r="G470" s="49">
        <f>VLOOKUP(C:C,yedekparca!A:D,3,0)</f>
        <v>17.307341999999998</v>
      </c>
      <c r="H470" s="49">
        <f t="shared" si="9"/>
        <v>17.307341999999998</v>
      </c>
    </row>
    <row r="471" spans="1:8" outlineLevel="2" x14ac:dyDescent="0.25">
      <c r="A471" s="1" t="s">
        <v>423</v>
      </c>
      <c r="B471" s="1"/>
      <c r="C471" s="28" t="s">
        <v>11</v>
      </c>
      <c r="D471" s="28" t="s">
        <v>12</v>
      </c>
      <c r="E471" s="48">
        <v>1</v>
      </c>
      <c r="F471" s="27" t="s">
        <v>98</v>
      </c>
      <c r="G471" s="49">
        <f>VLOOKUP(C:C,yedekparca!A:D,3,0)</f>
        <v>69.767441860465112</v>
      </c>
      <c r="H471" s="49">
        <f t="shared" si="9"/>
        <v>69.767441860465112</v>
      </c>
    </row>
    <row r="472" spans="1:8" outlineLevel="1" x14ac:dyDescent="0.25">
      <c r="A472" s="1">
        <f>SUBTOTAL(9,A467:A471)</f>
        <v>0</v>
      </c>
      <c r="B472" s="1"/>
      <c r="C472" s="28"/>
      <c r="D472" s="28"/>
      <c r="E472" s="48"/>
      <c r="F472" s="27"/>
      <c r="G472" s="50" t="s">
        <v>424</v>
      </c>
      <c r="H472" s="49">
        <f>SUBTOTAL(9,H467:H471)</f>
        <v>197.33772353488371</v>
      </c>
    </row>
    <row r="473" spans="1:8" outlineLevel="2" x14ac:dyDescent="0.25">
      <c r="A473" s="1" t="s">
        <v>425</v>
      </c>
      <c r="B473" s="1"/>
      <c r="C473" s="2" t="s">
        <v>29</v>
      </c>
      <c r="D473" s="1" t="s">
        <v>24</v>
      </c>
      <c r="E473" s="48">
        <v>7</v>
      </c>
      <c r="F473" s="27" t="s">
        <v>103</v>
      </c>
      <c r="G473" s="49">
        <f>VLOOKUP(C:C,yedekparca!A:D,3,0)</f>
        <v>3.2558139534883721</v>
      </c>
      <c r="H473" s="49">
        <f t="shared" si="9"/>
        <v>22.790697674418606</v>
      </c>
    </row>
    <row r="474" spans="1:8" outlineLevel="2" x14ac:dyDescent="0.25">
      <c r="A474" s="1" t="s">
        <v>425</v>
      </c>
      <c r="B474" s="1"/>
      <c r="C474" s="2" t="s">
        <v>19</v>
      </c>
      <c r="D474" s="1" t="s">
        <v>186</v>
      </c>
      <c r="E474" s="48">
        <v>33</v>
      </c>
      <c r="F474" s="27" t="s">
        <v>103</v>
      </c>
      <c r="G474" s="49">
        <f>VLOOKUP(C:C,yedekparca!A:D,3,0)</f>
        <v>2.6911627906976743</v>
      </c>
      <c r="H474" s="49">
        <f t="shared" si="9"/>
        <v>88.808372093023252</v>
      </c>
    </row>
    <row r="475" spans="1:8" outlineLevel="2" x14ac:dyDescent="0.25">
      <c r="A475" s="1" t="s">
        <v>425</v>
      </c>
      <c r="B475" s="1"/>
      <c r="C475" s="2" t="s">
        <v>148</v>
      </c>
      <c r="D475" s="1" t="s">
        <v>142</v>
      </c>
      <c r="E475" s="48">
        <v>1</v>
      </c>
      <c r="F475" s="27" t="s">
        <v>98</v>
      </c>
      <c r="G475" s="49">
        <f>VLOOKUP(C:C,yedekparca!A:D,3,0)</f>
        <v>67.304330999999991</v>
      </c>
      <c r="H475" s="49">
        <f t="shared" si="9"/>
        <v>67.304330999999991</v>
      </c>
    </row>
    <row r="476" spans="1:8" outlineLevel="2" x14ac:dyDescent="0.25">
      <c r="A476" s="1" t="s">
        <v>425</v>
      </c>
      <c r="B476" s="1"/>
      <c r="C476" s="2" t="s">
        <v>143</v>
      </c>
      <c r="D476" s="2" t="s">
        <v>137</v>
      </c>
      <c r="E476" s="48">
        <v>1</v>
      </c>
      <c r="F476" s="27" t="s">
        <v>98</v>
      </c>
      <c r="G476" s="49">
        <f>VLOOKUP(C:C,yedekparca!A:D,3,0)</f>
        <v>20.167911</v>
      </c>
      <c r="H476" s="49">
        <f t="shared" si="9"/>
        <v>20.167911</v>
      </c>
    </row>
    <row r="477" spans="1:8" outlineLevel="2" x14ac:dyDescent="0.25">
      <c r="A477" s="1" t="s">
        <v>425</v>
      </c>
      <c r="B477" s="1"/>
      <c r="C477" s="31" t="s">
        <v>72</v>
      </c>
      <c r="D477" s="1" t="s">
        <v>147</v>
      </c>
      <c r="E477" s="48">
        <v>1</v>
      </c>
      <c r="F477" s="27" t="s">
        <v>98</v>
      </c>
      <c r="G477" s="49">
        <f>VLOOKUP(C:C,yedekparca!A:D,3,0)</f>
        <v>17.307341999999998</v>
      </c>
      <c r="H477" s="49">
        <f t="shared" si="9"/>
        <v>17.307341999999998</v>
      </c>
    </row>
    <row r="478" spans="1:8" outlineLevel="2" x14ac:dyDescent="0.25">
      <c r="A478" s="1" t="s">
        <v>425</v>
      </c>
      <c r="B478" s="1"/>
      <c r="C478" s="1" t="s">
        <v>25</v>
      </c>
      <c r="D478" s="1" t="s">
        <v>18</v>
      </c>
      <c r="E478" s="48">
        <v>0.5</v>
      </c>
      <c r="F478" s="27" t="s">
        <v>103</v>
      </c>
      <c r="G478" s="49">
        <f>VLOOKUP(C:C,yedekparca!A:D,3,0)</f>
        <v>11.255813953488373</v>
      </c>
      <c r="H478" s="49">
        <f t="shared" si="9"/>
        <v>5.6279069767441863</v>
      </c>
    </row>
    <row r="479" spans="1:8" outlineLevel="2" x14ac:dyDescent="0.25">
      <c r="A479" s="1" t="s">
        <v>425</v>
      </c>
      <c r="B479" s="1"/>
      <c r="C479" s="28" t="s">
        <v>13</v>
      </c>
      <c r="D479" s="28" t="s">
        <v>14</v>
      </c>
      <c r="E479" s="48">
        <v>1</v>
      </c>
      <c r="F479" s="27" t="s">
        <v>98</v>
      </c>
      <c r="G479" s="49">
        <f>VLOOKUP(C:C,yedekparca!A:D,3,0)</f>
        <v>104.65116279069767</v>
      </c>
      <c r="H479" s="49">
        <f t="shared" si="9"/>
        <v>104.65116279069767</v>
      </c>
    </row>
    <row r="480" spans="1:8" outlineLevel="1" x14ac:dyDescent="0.25">
      <c r="A480" s="1">
        <f>SUBTOTAL(9,A473:A479)</f>
        <v>0</v>
      </c>
      <c r="B480" s="1"/>
      <c r="C480" s="28"/>
      <c r="D480" s="28"/>
      <c r="E480" s="1"/>
      <c r="F480" s="27"/>
      <c r="G480" s="39" t="s">
        <v>426</v>
      </c>
      <c r="H480" s="49">
        <f>SUBTOTAL(9,H473:H479)</f>
        <v>326.6577235348837</v>
      </c>
    </row>
    <row r="481" spans="1:8" x14ac:dyDescent="0.25">
      <c r="A481" s="1">
        <f>SUBTOTAL(9,A2:A479)</f>
        <v>0</v>
      </c>
      <c r="B481" s="1"/>
      <c r="C481" s="28"/>
      <c r="D481" s="28"/>
      <c r="E481" s="1"/>
      <c r="F481" s="27"/>
      <c r="G481" s="39" t="s">
        <v>287</v>
      </c>
      <c r="H481" s="49">
        <f>SUBTOTAL(9,H2:H479)</f>
        <v>19277.683642651216</v>
      </c>
    </row>
  </sheetData>
  <autoFilter ref="C1:F479"/>
  <hyperlinks>
    <hyperlink ref="C143" r:id="rId1" display="javascript:myhacklinker('?id=1%27);"/>
    <hyperlink ref="C160" r:id="rId2" display="javascript:myhacklinker('?id=1%27);"/>
    <hyperlink ref="C202" r:id="rId3" display="javascript:myhacklinker('?id=1%27);"/>
    <hyperlink ref="C218" r:id="rId4" display="javascript:myhacklinker('?id=1%27);"/>
    <hyperlink ref="C319" r:id="rId5" display="javascript:myhacklinker('?id=1%27);"/>
    <hyperlink ref="C342" r:id="rId6" display="javascript:myhacklinker('?id=1%27);"/>
    <hyperlink ref="C263" r:id="rId7" display="javascript:myhacklinker('?id=1%27);"/>
    <hyperlink ref="C281" r:id="rId8" display="javascript:myhacklinker('?id=1%27);"/>
  </hyperlinks>
  <pageMargins left="0.75" right="0.75" top="1" bottom="1" header="0.5" footer="0.5"/>
  <pageSetup paperSize="9" orientation="portrait" verticalDpi="0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7"/>
  <dimension ref="A1:L213"/>
  <sheetViews>
    <sheetView topLeftCell="H1" workbookViewId="0">
      <selection activeCell="H46" sqref="H46:J49"/>
    </sheetView>
  </sheetViews>
  <sheetFormatPr defaultRowHeight="15" x14ac:dyDescent="0.25"/>
  <cols>
    <col min="1" max="1" width="14" hidden="1" customWidth="1"/>
    <col min="2" max="2" width="12" hidden="1" customWidth="1"/>
    <col min="3" max="3" width="19.28515625" hidden="1" customWidth="1"/>
    <col min="4" max="4" width="10.7109375" hidden="1" customWidth="1"/>
    <col min="5" max="7" width="6.140625" hidden="1" customWidth="1"/>
    <col min="8" max="8" width="16.42578125" style="44" customWidth="1"/>
    <col min="9" max="9" width="16.140625" customWidth="1"/>
    <col min="10" max="10" width="13" customWidth="1"/>
    <col min="11" max="11" width="10.5703125" bestFit="1" customWidth="1"/>
  </cols>
  <sheetData>
    <row r="1" spans="1:10" ht="20.25" customHeight="1" x14ac:dyDescent="0.25">
      <c r="A1" t="s">
        <v>221</v>
      </c>
      <c r="B1" t="s">
        <v>233</v>
      </c>
      <c r="C1" t="s">
        <v>235</v>
      </c>
      <c r="E1" t="s">
        <v>234</v>
      </c>
      <c r="H1" s="53" t="s">
        <v>440</v>
      </c>
      <c r="I1" s="23" t="s">
        <v>447</v>
      </c>
      <c r="J1" s="25" t="s">
        <v>443</v>
      </c>
    </row>
    <row r="2" spans="1:10" ht="15.75" customHeight="1" x14ac:dyDescent="0.25">
      <c r="A2" s="21" t="s">
        <v>396</v>
      </c>
      <c r="B2" s="21">
        <v>2000</v>
      </c>
      <c r="C2" s="22" t="s">
        <v>397</v>
      </c>
      <c r="D2" s="40">
        <f>bakimrecete!H8</f>
        <v>196.87020195348836</v>
      </c>
      <c r="E2">
        <v>1</v>
      </c>
      <c r="H2" s="43" t="s">
        <v>402</v>
      </c>
      <c r="I2" s="40">
        <f>D2*E2+D3*E3+D4*E4+D5*E5+D6*E6</f>
        <v>2489.3736796279068</v>
      </c>
      <c r="J2" s="21" t="s">
        <v>396</v>
      </c>
    </row>
    <row r="3" spans="1:10" ht="15.75" customHeight="1" x14ac:dyDescent="0.25">
      <c r="A3" s="21"/>
      <c r="B3" s="21"/>
      <c r="C3" s="22" t="s">
        <v>240</v>
      </c>
      <c r="D3" s="40">
        <f>bakimrecete!H15</f>
        <v>196.87020195348836</v>
      </c>
      <c r="E3">
        <v>4</v>
      </c>
      <c r="H3" s="43" t="s">
        <v>428</v>
      </c>
      <c r="I3" s="40">
        <f>D31*E31+D32*E32+D33*E33+D34*E34+D35*E35</f>
        <v>3584.4933254418602</v>
      </c>
      <c r="J3" s="21" t="s">
        <v>396</v>
      </c>
    </row>
    <row r="4" spans="1:10" ht="15.75" customHeight="1" x14ac:dyDescent="0.25">
      <c r="A4" s="21"/>
      <c r="B4" s="21"/>
      <c r="C4" s="22" t="s">
        <v>241</v>
      </c>
      <c r="D4" s="40">
        <f>bakimrecete!H23</f>
        <v>226.50785274418604</v>
      </c>
      <c r="E4">
        <v>2</v>
      </c>
      <c r="H4" s="43" t="s">
        <v>429</v>
      </c>
      <c r="I4" s="40">
        <f>D60*E60+D61*E61+D62*E62+D63*E63+D64*E64</f>
        <v>7074.3806349767437</v>
      </c>
      <c r="J4" s="21" t="s">
        <v>396</v>
      </c>
    </row>
    <row r="5" spans="1:10" ht="15.75" customHeight="1" x14ac:dyDescent="0.25">
      <c r="A5" s="21"/>
      <c r="B5" s="21"/>
      <c r="C5" s="22" t="s">
        <v>242</v>
      </c>
      <c r="D5" s="40">
        <f>bakimrecete!H38</f>
        <v>474.87138916279071</v>
      </c>
      <c r="E5">
        <v>1</v>
      </c>
      <c r="H5" s="43" t="s">
        <v>430</v>
      </c>
      <c r="I5" s="40">
        <f>D89*E89+D90*E90+D91*E91+D92*E92+D93*E93</f>
        <v>10462.003758465116</v>
      </c>
      <c r="J5" s="21" t="s">
        <v>396</v>
      </c>
    </row>
    <row r="6" spans="1:10" ht="15.75" customHeight="1" x14ac:dyDescent="0.25">
      <c r="A6" s="21"/>
      <c r="B6" s="21"/>
      <c r="C6" s="22" t="s">
        <v>243</v>
      </c>
      <c r="D6" s="40">
        <f>bakimrecete!H54</f>
        <v>577.13557520930226</v>
      </c>
      <c r="E6">
        <v>1</v>
      </c>
      <c r="H6" s="43" t="s">
        <v>248</v>
      </c>
      <c r="I6" s="40">
        <f>D7*E7+D8*E8+D9*E9+D10*E10</f>
        <v>2174.0431364186043</v>
      </c>
      <c r="J6" s="21" t="s">
        <v>108</v>
      </c>
    </row>
    <row r="7" spans="1:10" ht="15.75" customHeight="1" x14ac:dyDescent="0.25">
      <c r="A7" s="21" t="s">
        <v>108</v>
      </c>
      <c r="B7" s="21">
        <v>2000</v>
      </c>
      <c r="C7" s="22" t="s">
        <v>331</v>
      </c>
      <c r="D7" s="40">
        <f>bakimrecete!H61</f>
        <v>224.73826095348835</v>
      </c>
      <c r="E7">
        <v>1</v>
      </c>
      <c r="H7" s="43" t="s">
        <v>365</v>
      </c>
      <c r="I7" s="40">
        <f>D36*E36+D37*E37+D38*E38+D39*E39+D40*E40</f>
        <v>3996.27133344186</v>
      </c>
      <c r="J7" s="21" t="s">
        <v>108</v>
      </c>
    </row>
    <row r="8" spans="1:10" ht="15.75" customHeight="1" x14ac:dyDescent="0.25">
      <c r="A8" s="21"/>
      <c r="B8" s="21"/>
      <c r="C8" s="22" t="s">
        <v>346</v>
      </c>
      <c r="D8" s="40">
        <f>bakimrecete!H68</f>
        <v>224.73826095348835</v>
      </c>
      <c r="E8">
        <v>4</v>
      </c>
      <c r="H8" s="43" t="s">
        <v>366</v>
      </c>
      <c r="I8" s="40">
        <f>D65*E65+D66*E66+D67*E67+D68*E68+D69*E69</f>
        <v>7870.0685919767438</v>
      </c>
      <c r="J8" s="21" t="s">
        <v>108</v>
      </c>
    </row>
    <row r="9" spans="1:10" ht="15.75" customHeight="1" x14ac:dyDescent="0.25">
      <c r="A9" s="21"/>
      <c r="B9" s="21"/>
      <c r="C9" s="22" t="s">
        <v>347</v>
      </c>
      <c r="D9" s="40">
        <f>bakimrecete!H76</f>
        <v>276.73872474418602</v>
      </c>
      <c r="E9">
        <v>2</v>
      </c>
      <c r="H9" s="43" t="s">
        <v>367</v>
      </c>
      <c r="I9" s="40">
        <f>D94*E94+D95*E95+D96*E96+D97*E97+D98*E98</f>
        <v>11641.601664465114</v>
      </c>
      <c r="J9" s="21" t="s">
        <v>108</v>
      </c>
    </row>
    <row r="10" spans="1:10" ht="15.75" customHeight="1" x14ac:dyDescent="0.25">
      <c r="A10" s="21"/>
      <c r="B10" s="21"/>
      <c r="C10" s="22" t="s">
        <v>348</v>
      </c>
      <c r="D10" s="40">
        <f>bakimrecete!H90</f>
        <v>496.87438216279065</v>
      </c>
      <c r="E10">
        <v>1</v>
      </c>
      <c r="H10" s="43" t="s">
        <v>253</v>
      </c>
      <c r="I10" s="40">
        <f>D12*E12+D13*E13+D14*E14+D15*E15+D16*E16</f>
        <v>3643.4137523720929</v>
      </c>
      <c r="J10" s="21" t="s">
        <v>109</v>
      </c>
    </row>
    <row r="11" spans="1:10" ht="15.75" customHeight="1" x14ac:dyDescent="0.25">
      <c r="A11" s="21"/>
      <c r="B11" s="21"/>
      <c r="C11" s="22" t="s">
        <v>349</v>
      </c>
      <c r="D11" s="40">
        <f>bakimrecete!H105</f>
        <v>599.13856820930232</v>
      </c>
      <c r="E11">
        <v>1</v>
      </c>
      <c r="H11" s="43" t="s">
        <v>368</v>
      </c>
      <c r="I11" s="40">
        <f>D41*E41+D42*E42+D43*E43+D44*E44+D45*E45</f>
        <v>5217.7399461860459</v>
      </c>
      <c r="J11" s="21" t="s">
        <v>109</v>
      </c>
    </row>
    <row r="12" spans="1:10" ht="15.75" customHeight="1" x14ac:dyDescent="0.25">
      <c r="A12" s="21" t="s">
        <v>109</v>
      </c>
      <c r="B12" s="21">
        <v>2000</v>
      </c>
      <c r="C12" s="22" t="s">
        <v>327</v>
      </c>
      <c r="D12" s="40">
        <f>bakimrecete!H112</f>
        <v>290.23299265116282</v>
      </c>
      <c r="E12">
        <v>1</v>
      </c>
      <c r="H12" s="43" t="s">
        <v>369</v>
      </c>
      <c r="I12" s="40">
        <f>D70*E70+D71*E71+D72*E72+D73*E73+D74*E74</f>
        <v>10349.775271813953</v>
      </c>
      <c r="J12" s="21" t="s">
        <v>109</v>
      </c>
    </row>
    <row r="13" spans="1:10" ht="15.75" customHeight="1" x14ac:dyDescent="0.25">
      <c r="A13" s="21"/>
      <c r="B13" s="21"/>
      <c r="C13" s="22" t="s">
        <v>350</v>
      </c>
      <c r="D13" s="40">
        <f>bakimrecete!H119</f>
        <v>290.23299265116282</v>
      </c>
      <c r="E13">
        <v>4</v>
      </c>
      <c r="H13" s="43" t="s">
        <v>370</v>
      </c>
      <c r="I13" s="40">
        <f>D99*E99+D100*E100+D101*E101+D102*E102+D103*E103</f>
        <v>15277.282225348838</v>
      </c>
      <c r="J13" s="21" t="s">
        <v>109</v>
      </c>
    </row>
    <row r="14" spans="1:10" ht="15.75" customHeight="1" x14ac:dyDescent="0.25">
      <c r="A14" s="21"/>
      <c r="B14" s="21"/>
      <c r="C14" s="22" t="s">
        <v>351</v>
      </c>
      <c r="D14" s="40">
        <f>bakimrecete!H129</f>
        <v>274.82546665116274</v>
      </c>
      <c r="E14">
        <v>2</v>
      </c>
      <c r="H14" s="43" t="s">
        <v>258</v>
      </c>
      <c r="I14" s="40">
        <f>D17*E17+D18*E18+D19*E19+D20*E20+D21*E21</f>
        <v>3463.3913033720928</v>
      </c>
      <c r="J14" s="21" t="s">
        <v>110</v>
      </c>
    </row>
    <row r="15" spans="1:10" ht="15.75" customHeight="1" x14ac:dyDescent="0.25">
      <c r="A15" s="21"/>
      <c r="B15" s="21"/>
      <c r="C15" s="22" t="s">
        <v>352</v>
      </c>
      <c r="D15" s="40">
        <f>bakimrecete!H146</f>
        <v>719.03474186046503</v>
      </c>
      <c r="E15">
        <v>1</v>
      </c>
      <c r="H15" s="43" t="s">
        <v>371</v>
      </c>
      <c r="I15" s="40">
        <f>D46*E46+D47*E47+D48*E48+D49*E49+D50*E50</f>
        <v>4938.6788317906967</v>
      </c>
      <c r="J15" s="21" t="s">
        <v>110</v>
      </c>
    </row>
    <row r="16" spans="1:10" ht="15.75" customHeight="1" x14ac:dyDescent="0.25">
      <c r="A16" s="21"/>
      <c r="B16" s="21"/>
      <c r="C16" s="22" t="s">
        <v>364</v>
      </c>
      <c r="D16" s="40">
        <f>bakimrecete!H164</f>
        <v>923.56311395348825</v>
      </c>
      <c r="E16">
        <v>1</v>
      </c>
      <c r="H16" s="43" t="s">
        <v>372</v>
      </c>
      <c r="I16" s="40">
        <f>D75*E75+D76*E76+D77*E77+D78*E78+D79*E79</f>
        <v>9875.6570618837213</v>
      </c>
      <c r="J16" s="21" t="s">
        <v>110</v>
      </c>
    </row>
    <row r="17" spans="1:12" ht="15.75" customHeight="1" x14ac:dyDescent="0.25">
      <c r="A17" s="21" t="s">
        <v>110</v>
      </c>
      <c r="B17" s="21">
        <v>2000</v>
      </c>
      <c r="C17" s="22" t="s">
        <v>328</v>
      </c>
      <c r="D17" s="40">
        <f>bakimrecete!H171</f>
        <v>257.25842411627906</v>
      </c>
      <c r="E17">
        <v>1</v>
      </c>
      <c r="H17" s="43" t="s">
        <v>373</v>
      </c>
      <c r="I17" s="40">
        <f>D104*E104+D105*E105+D106*E106+D107*E107+D108*E108</f>
        <v>14451.675214348837</v>
      </c>
      <c r="J17" s="21" t="s">
        <v>110</v>
      </c>
    </row>
    <row r="18" spans="1:12" ht="15.75" customHeight="1" x14ac:dyDescent="0.25">
      <c r="A18" s="21"/>
      <c r="B18" s="21"/>
      <c r="C18" s="22" t="s">
        <v>353</v>
      </c>
      <c r="D18" s="40">
        <f>bakimrecete!H178</f>
        <v>257.25842411627906</v>
      </c>
      <c r="E18">
        <v>4</v>
      </c>
      <c r="H18" s="43" t="s">
        <v>263</v>
      </c>
      <c r="I18" s="40">
        <f>D22*E22+D23*E23+D24*E24+D25*E25+D26*E26</f>
        <v>4159.1221752790698</v>
      </c>
      <c r="J18" s="21" t="s">
        <v>111</v>
      </c>
    </row>
    <row r="19" spans="1:12" ht="15.75" customHeight="1" x14ac:dyDescent="0.25">
      <c r="A19" s="21"/>
      <c r="B19" s="21"/>
      <c r="C19" s="22" t="s">
        <v>354</v>
      </c>
      <c r="D19" s="40">
        <f>bakimrecete!H188</f>
        <v>274.82546665116274</v>
      </c>
      <c r="E19">
        <v>2</v>
      </c>
      <c r="H19" s="43" t="s">
        <v>374</v>
      </c>
      <c r="I19" s="40">
        <f>D51*E51+D52*E52+D53*E53+D54*E54+D55*E55</f>
        <v>5841.9440472558144</v>
      </c>
      <c r="J19" s="21" t="s">
        <v>111</v>
      </c>
    </row>
    <row r="20" spans="1:12" ht="15.75" customHeight="1" x14ac:dyDescent="0.25">
      <c r="A20" s="21"/>
      <c r="B20" s="21"/>
      <c r="C20" s="22" t="s">
        <v>355</v>
      </c>
      <c r="D20" s="40">
        <f>bakimrecete!H204</f>
        <v>580.54295832558137</v>
      </c>
      <c r="E20">
        <v>1</v>
      </c>
      <c r="H20" s="43" t="s">
        <v>375</v>
      </c>
      <c r="I20" s="40">
        <f>D80*E80+D81*E81+D82*E82+D83*E83+D84*E84</f>
        <v>11823.134328860466</v>
      </c>
      <c r="J20" s="21" t="s">
        <v>111</v>
      </c>
    </row>
    <row r="21" spans="1:12" ht="15.75" customHeight="1" x14ac:dyDescent="0.25">
      <c r="A21" s="21"/>
      <c r="B21" s="21"/>
      <c r="C21" s="22" t="s">
        <v>356</v>
      </c>
      <c r="D21" s="40">
        <f>bakimrecete!H222</f>
        <v>1046.9052911627907</v>
      </c>
      <c r="E21">
        <v>1</v>
      </c>
      <c r="H21" s="43" t="s">
        <v>376</v>
      </c>
      <c r="I21" s="40">
        <f>D109*E109+D110*E110+D111*E111+D112*E112+D113*E113</f>
        <v>17337.962277627907</v>
      </c>
      <c r="J21" s="21" t="s">
        <v>111</v>
      </c>
    </row>
    <row r="22" spans="1:12" ht="15.75" customHeight="1" x14ac:dyDescent="0.25">
      <c r="A22" s="21" t="s">
        <v>111</v>
      </c>
      <c r="B22" s="21">
        <v>2000</v>
      </c>
      <c r="C22" s="22" t="s">
        <v>329</v>
      </c>
      <c r="D22" s="40">
        <f>bakimrecete!H229</f>
        <v>327.11609848837213</v>
      </c>
      <c r="E22">
        <v>1</v>
      </c>
      <c r="H22" s="43" t="s">
        <v>267</v>
      </c>
      <c r="I22" s="40">
        <f>D27*E27+D28*E28+D29*E29+D30*E30</f>
        <v>5776.0592456046506</v>
      </c>
      <c r="J22" s="21" t="s">
        <v>112</v>
      </c>
    </row>
    <row r="23" spans="1:12" ht="15.75" customHeight="1" x14ac:dyDescent="0.25">
      <c r="A23" s="21"/>
      <c r="B23" s="21"/>
      <c r="C23" s="22" t="s">
        <v>357</v>
      </c>
      <c r="D23" s="40">
        <f>bakimrecete!H235</f>
        <v>176.88013488372093</v>
      </c>
      <c r="E23">
        <v>4</v>
      </c>
      <c r="H23" s="43" t="s">
        <v>377</v>
      </c>
      <c r="I23" s="40">
        <f>D56*E56+D57*E57+D58*E58+D59*E59</f>
        <v>6379.2572243953491</v>
      </c>
      <c r="J23" s="21" t="s">
        <v>112</v>
      </c>
    </row>
    <row r="24" spans="1:12" ht="15.75" customHeight="1" x14ac:dyDescent="0.25">
      <c r="A24" s="21"/>
      <c r="B24" s="21"/>
      <c r="C24" s="22" t="s">
        <v>358</v>
      </c>
      <c r="D24" s="40">
        <f>bakimrecete!H247</f>
        <v>470.44558090697677</v>
      </c>
      <c r="E24">
        <v>2</v>
      </c>
      <c r="H24" s="43" t="s">
        <v>378</v>
      </c>
      <c r="I24" s="40">
        <f>D85*E85+D86*E86+D87*E87+D88*E88</f>
        <v>11939.670917000001</v>
      </c>
      <c r="J24" s="21" t="s">
        <v>112</v>
      </c>
    </row>
    <row r="25" spans="1:12" ht="15.75" customHeight="1" x14ac:dyDescent="0.25">
      <c r="A25" s="21"/>
      <c r="B25" s="21"/>
      <c r="C25" s="22" t="s">
        <v>359</v>
      </c>
      <c r="D25" s="40">
        <f>bakimrecete!H265</f>
        <v>858.61602130232563</v>
      </c>
      <c r="E25">
        <v>1</v>
      </c>
      <c r="H25" s="43" t="s">
        <v>379</v>
      </c>
      <c r="I25" s="40">
        <f>D114*E114+D115*E115+D116*E116+D117*E117</f>
        <v>19184.934727209304</v>
      </c>
      <c r="J25" s="21" t="s">
        <v>112</v>
      </c>
    </row>
    <row r="26" spans="1:12" ht="15.75" customHeight="1" x14ac:dyDescent="0.25">
      <c r="A26" s="21"/>
      <c r="B26" s="21"/>
      <c r="C26" s="22" t="s">
        <v>360</v>
      </c>
      <c r="D26" s="40">
        <f>bakimrecete!H285</f>
        <v>1324.978354139535</v>
      </c>
      <c r="E26">
        <v>1</v>
      </c>
      <c r="H26" s="43" t="s">
        <v>270</v>
      </c>
      <c r="I26" s="40">
        <f>D118*E118+D119*E119+D120*E120</f>
        <v>416.61315327906971</v>
      </c>
      <c r="J26" s="21" t="s">
        <v>187</v>
      </c>
    </row>
    <row r="27" spans="1:12" ht="15.75" customHeight="1" x14ac:dyDescent="0.25">
      <c r="A27" s="21" t="s">
        <v>112</v>
      </c>
      <c r="B27" s="21">
        <v>2000</v>
      </c>
      <c r="C27" s="22" t="s">
        <v>330</v>
      </c>
      <c r="D27" s="40">
        <f>bakimrecete!H292</f>
        <v>320.74674609302326</v>
      </c>
      <c r="E27" s="9">
        <v>1</v>
      </c>
      <c r="H27" s="43" t="s">
        <v>380</v>
      </c>
      <c r="I27" s="40">
        <f>D142*E142+D143*E143+D144*E144</f>
        <v>565.35475586046505</v>
      </c>
      <c r="J27" s="21" t="s">
        <v>187</v>
      </c>
    </row>
    <row r="28" spans="1:12" ht="15.75" customHeight="1" x14ac:dyDescent="0.25">
      <c r="A28" s="21"/>
      <c r="B28" s="21"/>
      <c r="C28" s="22" t="s">
        <v>361</v>
      </c>
      <c r="D28" s="40">
        <f>bakimrecete!H301</f>
        <v>603.19797879069768</v>
      </c>
      <c r="E28" s="35">
        <v>2</v>
      </c>
      <c r="H28" s="43" t="s">
        <v>381</v>
      </c>
      <c r="I28" s="40">
        <f>D166*E166+D167*E167+D168*E168</f>
        <v>1162.9350665581396</v>
      </c>
      <c r="J28" s="21" t="s">
        <v>187</v>
      </c>
    </row>
    <row r="29" spans="1:12" ht="15.75" customHeight="1" x14ac:dyDescent="0.25">
      <c r="A29" s="21"/>
      <c r="B29" s="21"/>
      <c r="C29" s="22" t="s">
        <v>362</v>
      </c>
      <c r="D29" s="40">
        <f>bakimrecete!H321</f>
        <v>1186.7533319069767</v>
      </c>
      <c r="E29" s="35">
        <v>2</v>
      </c>
      <c r="H29" s="43" t="s">
        <v>382</v>
      </c>
      <c r="I29" s="40">
        <f>D193*E193+D194*E194+D195*E195</f>
        <v>1815.1942156976743</v>
      </c>
      <c r="J29" s="21" t="s">
        <v>187</v>
      </c>
    </row>
    <row r="30" spans="1:12" ht="15.75" customHeight="1" x14ac:dyDescent="0.25">
      <c r="A30" s="21"/>
      <c r="B30" s="21"/>
      <c r="C30" s="22" t="s">
        <v>363</v>
      </c>
      <c r="D30" s="40">
        <f>bakimrecete!H345</f>
        <v>1875.4098781162793</v>
      </c>
      <c r="E30" s="35">
        <v>1</v>
      </c>
      <c r="H30" s="43" t="s">
        <v>273</v>
      </c>
      <c r="I30" s="40">
        <f>D121*E121+D122*E122+D123*E123</f>
        <v>416.61315327906971</v>
      </c>
      <c r="J30" s="21" t="s">
        <v>188</v>
      </c>
    </row>
    <row r="31" spans="1:12" ht="15.75" customHeight="1" x14ac:dyDescent="0.25">
      <c r="A31" s="21" t="s">
        <v>396</v>
      </c>
      <c r="B31" s="21">
        <v>3000</v>
      </c>
      <c r="C31" s="22" t="s">
        <v>239</v>
      </c>
      <c r="D31" s="40">
        <f>bakimrecete!H8</f>
        <v>196.87020195348836</v>
      </c>
      <c r="E31">
        <v>1</v>
      </c>
      <c r="H31" s="43" t="s">
        <v>383</v>
      </c>
      <c r="I31" s="40">
        <f>D145*E145+D146*E146+D147*E147</f>
        <v>565.35475586046505</v>
      </c>
      <c r="J31" s="21" t="s">
        <v>188</v>
      </c>
      <c r="K31" s="22"/>
      <c r="L31" s="22"/>
    </row>
    <row r="32" spans="1:12" ht="15.75" customHeight="1" x14ac:dyDescent="0.25">
      <c r="A32" s="21"/>
      <c r="B32" s="21"/>
      <c r="C32" s="22" t="s">
        <v>240</v>
      </c>
      <c r="D32" s="40">
        <f>bakimrecete!H15</f>
        <v>196.87020195348836</v>
      </c>
      <c r="E32">
        <v>6</v>
      </c>
      <c r="H32" s="43" t="s">
        <v>384</v>
      </c>
      <c r="I32" s="40">
        <f>D169*E169+D170*E170+D171*E171</f>
        <v>1162.9350665581396</v>
      </c>
      <c r="J32" s="21" t="s">
        <v>188</v>
      </c>
    </row>
    <row r="33" spans="1:11" ht="15.75" customHeight="1" x14ac:dyDescent="0.25">
      <c r="A33" s="21"/>
      <c r="B33" s="21"/>
      <c r="C33" s="22" t="s">
        <v>241</v>
      </c>
      <c r="D33" s="40">
        <f>bakimrecete!H23</f>
        <v>226.50785274418604</v>
      </c>
      <c r="E33">
        <v>3</v>
      </c>
      <c r="H33" s="43" t="s">
        <v>385</v>
      </c>
      <c r="I33" s="40">
        <f>D193*E193+D194*E194+D195*E195</f>
        <v>1815.1942156976743</v>
      </c>
      <c r="J33" s="21" t="s">
        <v>188</v>
      </c>
    </row>
    <row r="34" spans="1:11" ht="15.75" customHeight="1" x14ac:dyDescent="0.25">
      <c r="A34" s="21"/>
      <c r="B34" s="21"/>
      <c r="C34" s="22" t="s">
        <v>242</v>
      </c>
      <c r="D34" s="40">
        <f>bakimrecete!H38</f>
        <v>474.87138916279071</v>
      </c>
      <c r="E34">
        <v>2</v>
      </c>
      <c r="H34" s="43" t="s">
        <v>405</v>
      </c>
      <c r="I34" s="40">
        <f>D124*E124+D125*E125+D126*E126</f>
        <v>420.8375718837209</v>
      </c>
      <c r="J34" s="21" t="s">
        <v>190</v>
      </c>
    </row>
    <row r="35" spans="1:11" ht="15.75" customHeight="1" x14ac:dyDescent="0.25">
      <c r="A35" s="21"/>
      <c r="B35" s="21"/>
      <c r="C35" s="22" t="s">
        <v>243</v>
      </c>
      <c r="D35" s="40">
        <f>bakimrecete!H54</f>
        <v>577.13557520930226</v>
      </c>
      <c r="E35">
        <v>1</v>
      </c>
      <c r="H35" s="43" t="s">
        <v>431</v>
      </c>
      <c r="I35" s="40">
        <f>D148*E148+D149*E149+D150*E150</f>
        <v>569.57917446511624</v>
      </c>
      <c r="J35" s="21" t="s">
        <v>190</v>
      </c>
    </row>
    <row r="36" spans="1:11" ht="15.75" customHeight="1" x14ac:dyDescent="0.25">
      <c r="A36" s="21" t="s">
        <v>108</v>
      </c>
      <c r="B36" s="21">
        <v>3000</v>
      </c>
      <c r="C36" s="22" t="s">
        <v>331</v>
      </c>
      <c r="D36" s="40">
        <f>bakimrecete!H61</f>
        <v>224.73826095348835</v>
      </c>
      <c r="E36">
        <v>1</v>
      </c>
      <c r="H36" s="43" t="s">
        <v>432</v>
      </c>
      <c r="I36" s="40">
        <f>D172*E172+D173*E173+D174*E174</f>
        <v>1175.608322372093</v>
      </c>
      <c r="J36" s="21" t="s">
        <v>190</v>
      </c>
      <c r="K36" s="1"/>
    </row>
    <row r="37" spans="1:11" ht="15.75" customHeight="1" x14ac:dyDescent="0.25">
      <c r="A37" s="21"/>
      <c r="B37" s="21"/>
      <c r="C37" s="22" t="s">
        <v>346</v>
      </c>
      <c r="D37" s="40">
        <f>bakimrecete!H68</f>
        <v>224.73826095348835</v>
      </c>
      <c r="E37">
        <v>6</v>
      </c>
      <c r="H37" s="43" t="s">
        <v>433</v>
      </c>
      <c r="I37" s="40">
        <f>D196*E196+D197*E197+D198+E198</f>
        <v>1205.315610116279</v>
      </c>
      <c r="J37" s="21" t="s">
        <v>190</v>
      </c>
      <c r="K37" s="1"/>
    </row>
    <row r="38" spans="1:11" ht="15.75" customHeight="1" x14ac:dyDescent="0.25">
      <c r="A38" s="21"/>
      <c r="B38" s="21"/>
      <c r="C38" s="22" t="s">
        <v>347</v>
      </c>
      <c r="D38" s="40">
        <f>bakimrecete!H76</f>
        <v>276.73872474418602</v>
      </c>
      <c r="E38">
        <v>3</v>
      </c>
      <c r="H38" s="43" t="s">
        <v>279</v>
      </c>
      <c r="I38" s="40">
        <f>D127*E127+D128*E128+D129*E129</f>
        <v>441.8507406744186</v>
      </c>
      <c r="J38" s="21" t="s">
        <v>192</v>
      </c>
      <c r="K38" s="1"/>
    </row>
    <row r="39" spans="1:11" ht="15.75" customHeight="1" x14ac:dyDescent="0.25">
      <c r="A39" s="21"/>
      <c r="B39" s="21"/>
      <c r="C39" s="22" t="s">
        <v>348</v>
      </c>
      <c r="D39" s="40">
        <f>bakimrecete!H90</f>
        <v>496.87438216279065</v>
      </c>
      <c r="E39">
        <v>2</v>
      </c>
      <c r="H39" s="43" t="s">
        <v>386</v>
      </c>
      <c r="I39" s="40">
        <f>D151*E151+D152*E152+D153*E153</f>
        <v>593.1481130930232</v>
      </c>
      <c r="J39" s="21" t="s">
        <v>192</v>
      </c>
      <c r="K39" s="1"/>
    </row>
    <row r="40" spans="1:11" ht="15.75" customHeight="1" x14ac:dyDescent="0.25">
      <c r="A40" s="21"/>
      <c r="B40" s="21"/>
      <c r="C40" s="22" t="s">
        <v>349</v>
      </c>
      <c r="D40" s="40">
        <f>bakimrecete!H105</f>
        <v>599.13856820930232</v>
      </c>
      <c r="E40">
        <v>1</v>
      </c>
      <c r="H40" s="43" t="s">
        <v>387</v>
      </c>
      <c r="I40" s="40">
        <f>D175*E175+D176*E176+D177*E177</f>
        <v>1239.7897333255814</v>
      </c>
      <c r="J40" s="21" t="s">
        <v>192</v>
      </c>
      <c r="K40" s="1"/>
    </row>
    <row r="41" spans="1:11" ht="15.75" customHeight="1" x14ac:dyDescent="0.25">
      <c r="A41" s="21" t="s">
        <v>109</v>
      </c>
      <c r="B41" s="21">
        <v>3000</v>
      </c>
      <c r="C41" s="22" t="s">
        <v>327</v>
      </c>
      <c r="D41" s="40">
        <f>bakimrecete!H112</f>
        <v>290.23299265116282</v>
      </c>
      <c r="E41">
        <v>1</v>
      </c>
      <c r="H41" s="43" t="s">
        <v>388</v>
      </c>
      <c r="I41" s="40">
        <f>D157*E157+D158*E158+D159*E159</f>
        <v>717.33998609302319</v>
      </c>
      <c r="J41" s="21" t="s">
        <v>192</v>
      </c>
      <c r="K41" s="1"/>
    </row>
    <row r="42" spans="1:11" ht="15.75" customHeight="1" x14ac:dyDescent="0.25">
      <c r="A42" s="21"/>
      <c r="B42" s="21"/>
      <c r="C42" s="22" t="s">
        <v>350</v>
      </c>
      <c r="D42" s="40">
        <f>bakimrecete!H119</f>
        <v>290.23299265116282</v>
      </c>
      <c r="E42">
        <v>6</v>
      </c>
      <c r="H42" s="43" t="s">
        <v>408</v>
      </c>
      <c r="I42" s="40">
        <f>D130*E130+D131*E131+D132*E132</f>
        <v>488.08761067441856</v>
      </c>
      <c r="J42" s="21" t="s">
        <v>194</v>
      </c>
      <c r="K42" s="1"/>
    </row>
    <row r="43" spans="1:11" ht="15.75" customHeight="1" x14ac:dyDescent="0.25">
      <c r="A43" s="21"/>
      <c r="B43" s="21"/>
      <c r="C43" s="22" t="s">
        <v>351</v>
      </c>
      <c r="D43" s="40">
        <f>bakimrecete!H129</f>
        <v>274.82546665116274</v>
      </c>
      <c r="E43">
        <v>3</v>
      </c>
      <c r="H43" s="43" t="s">
        <v>434</v>
      </c>
      <c r="I43" s="40">
        <f>D154*E154+D155*E155+D156*E156</f>
        <v>604.28454209302322</v>
      </c>
      <c r="J43" s="21" t="s">
        <v>194</v>
      </c>
    </row>
    <row r="44" spans="1:11" ht="15.75" customHeight="1" x14ac:dyDescent="0.25">
      <c r="A44" s="21"/>
      <c r="B44" s="21"/>
      <c r="C44" s="22" t="s">
        <v>352</v>
      </c>
      <c r="D44" s="40">
        <f>bakimrecete!H146</f>
        <v>719.03474186046503</v>
      </c>
      <c r="E44">
        <v>2</v>
      </c>
      <c r="H44" s="43" t="s">
        <v>435</v>
      </c>
      <c r="I44" s="40">
        <f>D178*E178+D179*E179+D180*E180</f>
        <v>1253.8407043255813</v>
      </c>
      <c r="J44" s="21" t="s">
        <v>194</v>
      </c>
    </row>
    <row r="45" spans="1:11" ht="15.75" customHeight="1" x14ac:dyDescent="0.25">
      <c r="A45" s="21"/>
      <c r="B45" s="21"/>
      <c r="C45" s="22" t="s">
        <v>364</v>
      </c>
      <c r="D45" s="40">
        <f>bakimrecete!H164</f>
        <v>923.56311395348825</v>
      </c>
      <c r="E45">
        <v>1</v>
      </c>
      <c r="H45" s="43" t="s">
        <v>436</v>
      </c>
      <c r="I45" s="40">
        <f>D202*E202+D203*E203+D204*E204</f>
        <v>1948.7273141162789</v>
      </c>
      <c r="J45" s="21" t="s">
        <v>194</v>
      </c>
    </row>
    <row r="46" spans="1:11" ht="15.75" customHeight="1" x14ac:dyDescent="0.25">
      <c r="A46" s="21" t="s">
        <v>110</v>
      </c>
      <c r="B46" s="21">
        <v>3000</v>
      </c>
      <c r="C46" s="22" t="s">
        <v>328</v>
      </c>
      <c r="D46" s="40">
        <f>bakimrecete!H171</f>
        <v>257.25842411627906</v>
      </c>
      <c r="E46">
        <v>1</v>
      </c>
      <c r="H46" s="56" t="s">
        <v>482</v>
      </c>
      <c r="I46" s="40">
        <f>D130*E130+D131*E131+D132*E132</f>
        <v>488.08761067441856</v>
      </c>
      <c r="J46" s="21" t="s">
        <v>193</v>
      </c>
    </row>
    <row r="47" spans="1:11" ht="15.75" customHeight="1" x14ac:dyDescent="0.25">
      <c r="A47" s="21"/>
      <c r="B47" s="21"/>
      <c r="C47" s="22" t="s">
        <v>353</v>
      </c>
      <c r="D47" s="40">
        <f>bakimrecete!H188</f>
        <v>274.82546665116274</v>
      </c>
      <c r="E47">
        <v>6</v>
      </c>
      <c r="H47" s="56" t="s">
        <v>483</v>
      </c>
      <c r="I47" s="40">
        <f>D154*E154+D155*E155+D156*E156</f>
        <v>604.28454209302322</v>
      </c>
      <c r="J47" s="21" t="s">
        <v>193</v>
      </c>
    </row>
    <row r="48" spans="1:11" ht="15.75" customHeight="1" x14ac:dyDescent="0.25">
      <c r="A48" s="21"/>
      <c r="B48" s="21"/>
      <c r="C48" s="22" t="s">
        <v>354</v>
      </c>
      <c r="D48" s="40">
        <f>bakimrecete!H188</f>
        <v>274.82546665116274</v>
      </c>
      <c r="E48">
        <v>3</v>
      </c>
      <c r="H48" s="56" t="s">
        <v>484</v>
      </c>
      <c r="I48" s="40">
        <f>D178*E178+D179*E179+D180*E180</f>
        <v>1253.8407043255813</v>
      </c>
      <c r="J48" s="21" t="s">
        <v>193</v>
      </c>
    </row>
    <row r="49" spans="1:10" ht="15.75" customHeight="1" x14ac:dyDescent="0.25">
      <c r="A49" s="21"/>
      <c r="B49" s="21"/>
      <c r="C49" s="22" t="s">
        <v>355</v>
      </c>
      <c r="D49" s="40">
        <f>bakimrecete!H204</f>
        <v>580.54295832558137</v>
      </c>
      <c r="E49">
        <v>2</v>
      </c>
      <c r="H49" s="56" t="s">
        <v>485</v>
      </c>
      <c r="I49" s="40">
        <f>D202*E202+D203*E203+D204*E204</f>
        <v>1948.7273141162789</v>
      </c>
      <c r="J49" s="21" t="s">
        <v>193</v>
      </c>
    </row>
    <row r="50" spans="1:10" ht="15.75" customHeight="1" x14ac:dyDescent="0.25">
      <c r="A50" s="21"/>
      <c r="B50" s="21"/>
      <c r="C50" s="22" t="s">
        <v>356</v>
      </c>
      <c r="D50" s="40">
        <f>bakimrecete!H222</f>
        <v>1046.9052911627907</v>
      </c>
      <c r="E50">
        <v>1</v>
      </c>
      <c r="F50" s="9"/>
      <c r="H50" s="43" t="s">
        <v>343</v>
      </c>
      <c r="I50" s="40">
        <f>D133*E133+D134*E134+D135*E135</f>
        <v>524.64532267441859</v>
      </c>
      <c r="J50" s="21" t="s">
        <v>196</v>
      </c>
    </row>
    <row r="51" spans="1:10" ht="15.75" customHeight="1" x14ac:dyDescent="0.25">
      <c r="A51" s="21" t="s">
        <v>111</v>
      </c>
      <c r="B51" s="21">
        <v>3000</v>
      </c>
      <c r="C51" s="22" t="s">
        <v>329</v>
      </c>
      <c r="D51" s="40">
        <f>bakimrecete!H229</f>
        <v>327.11609848837213</v>
      </c>
      <c r="E51">
        <v>1</v>
      </c>
      <c r="H51" s="43" t="s">
        <v>389</v>
      </c>
      <c r="I51" s="40">
        <f>D157*E157+D158*E158+D159*E159</f>
        <v>717.33998609302319</v>
      </c>
      <c r="J51" s="21" t="s">
        <v>196</v>
      </c>
    </row>
    <row r="52" spans="1:10" ht="15.75" customHeight="1" x14ac:dyDescent="0.25">
      <c r="A52" s="21"/>
      <c r="B52" s="21"/>
      <c r="C52" s="22" t="s">
        <v>357</v>
      </c>
      <c r="D52" s="40">
        <f>bakimrecete!H235</f>
        <v>176.88013488372093</v>
      </c>
      <c r="E52">
        <v>6</v>
      </c>
      <c r="H52" s="43" t="s">
        <v>390</v>
      </c>
      <c r="I52" s="40">
        <f>D181*E181+D182*E182+D183*E183</f>
        <v>1446.7761883255812</v>
      </c>
      <c r="J52" s="21" t="s">
        <v>196</v>
      </c>
    </row>
    <row r="53" spans="1:10" ht="15.75" customHeight="1" x14ac:dyDescent="0.25">
      <c r="A53" s="21"/>
      <c r="B53" s="21"/>
      <c r="C53" s="22" t="s">
        <v>358</v>
      </c>
      <c r="D53" s="40">
        <f>bakimrecete!H247</f>
        <v>470.44558090697677</v>
      </c>
      <c r="E53">
        <v>3</v>
      </c>
      <c r="H53" s="43" t="s">
        <v>391</v>
      </c>
      <c r="I53" s="40">
        <f>D205*E205+D206*E206+D207*E207</f>
        <v>2291.2759541162786</v>
      </c>
      <c r="J53" s="21" t="s">
        <v>196</v>
      </c>
    </row>
    <row r="54" spans="1:10" ht="15.75" customHeight="1" x14ac:dyDescent="0.25">
      <c r="A54" s="21"/>
      <c r="B54" s="21"/>
      <c r="C54" s="22" t="s">
        <v>359</v>
      </c>
      <c r="D54" s="40">
        <f>bakimrecete!H265</f>
        <v>858.61602130232563</v>
      </c>
      <c r="E54">
        <v>2</v>
      </c>
      <c r="H54" s="43" t="s">
        <v>392</v>
      </c>
      <c r="I54" s="40">
        <f>D136*E136+D137*E137+D138*E138</f>
        <v>519.47914600000001</v>
      </c>
      <c r="J54" s="21" t="s">
        <v>197</v>
      </c>
    </row>
    <row r="55" spans="1:10" ht="15.75" customHeight="1" x14ac:dyDescent="0.25">
      <c r="A55" s="21"/>
      <c r="B55" s="21"/>
      <c r="C55" s="22" t="s">
        <v>360</v>
      </c>
      <c r="D55" s="40">
        <f>bakimrecete!H285</f>
        <v>1324.978354139535</v>
      </c>
      <c r="E55">
        <v>1</v>
      </c>
      <c r="H55" s="43" t="s">
        <v>393</v>
      </c>
      <c r="I55" s="40">
        <f>D160*E160+D161*E161+D162*E162</f>
        <v>685.45822225581401</v>
      </c>
      <c r="J55" s="21" t="s">
        <v>197</v>
      </c>
    </row>
    <row r="56" spans="1:10" ht="15.75" customHeight="1" x14ac:dyDescent="0.25">
      <c r="A56" s="21" t="s">
        <v>112</v>
      </c>
      <c r="B56" s="21">
        <v>3000</v>
      </c>
      <c r="C56" s="22" t="s">
        <v>330</v>
      </c>
      <c r="D56" s="40">
        <f>bakimrecete!H292</f>
        <v>320.74674609302326</v>
      </c>
      <c r="E56" s="9">
        <v>1</v>
      </c>
      <c r="H56" s="43" t="s">
        <v>394</v>
      </c>
      <c r="I56" s="40">
        <f>D184*E184+D185*E185+D186*E186</f>
        <v>1461.6909198837211</v>
      </c>
      <c r="J56" s="21" t="s">
        <v>197</v>
      </c>
    </row>
    <row r="57" spans="1:10" ht="15.75" customHeight="1" x14ac:dyDescent="0.25">
      <c r="A57" s="21"/>
      <c r="B57" s="21"/>
      <c r="C57" s="22" t="s">
        <v>361</v>
      </c>
      <c r="D57" s="40">
        <f>bakimrecete!H301</f>
        <v>603.19797879069768</v>
      </c>
      <c r="E57" s="35">
        <v>3</v>
      </c>
      <c r="H57" s="43" t="s">
        <v>395</v>
      </c>
      <c r="I57" s="40">
        <f>D208*E208+D209*E209+D210*E210</f>
        <v>2243.8956602558137</v>
      </c>
      <c r="J57" s="21" t="s">
        <v>197</v>
      </c>
    </row>
    <row r="58" spans="1:10" ht="15.75" customHeight="1" x14ac:dyDescent="0.25">
      <c r="A58" s="21"/>
      <c r="B58" s="21"/>
      <c r="C58" s="22" t="s">
        <v>362</v>
      </c>
      <c r="D58" s="40">
        <f>bakimrecete!H321</f>
        <v>1186.7533319069767</v>
      </c>
      <c r="E58" s="35">
        <v>2</v>
      </c>
      <c r="H58" s="43" t="s">
        <v>425</v>
      </c>
      <c r="I58" s="40">
        <f>D139*E139+D140*E140+D141*E141</f>
        <v>685.85591218604645</v>
      </c>
      <c r="J58" s="21" t="s">
        <v>427</v>
      </c>
    </row>
    <row r="59" spans="1:10" ht="15.75" customHeight="1" x14ac:dyDescent="0.25">
      <c r="A59" s="21"/>
      <c r="B59" s="21"/>
      <c r="C59" s="22" t="s">
        <v>363</v>
      </c>
      <c r="D59" s="40">
        <f>bakimrecete!H345</f>
        <v>1875.4098781162793</v>
      </c>
      <c r="E59" s="35">
        <v>1</v>
      </c>
      <c r="H59" s="43" t="s">
        <v>437</v>
      </c>
      <c r="I59" s="40">
        <f>D154*E154+D155*E155+D156*E156</f>
        <v>604.28454209302322</v>
      </c>
      <c r="J59" s="21" t="s">
        <v>427</v>
      </c>
    </row>
    <row r="60" spans="1:10" ht="15.75" customHeight="1" x14ac:dyDescent="0.25">
      <c r="A60" s="36" t="s">
        <v>396</v>
      </c>
      <c r="B60" s="36">
        <v>6000</v>
      </c>
      <c r="C60" s="37" t="s">
        <v>239</v>
      </c>
      <c r="D60" s="40">
        <f>bakimrecete!H8</f>
        <v>196.87020195348836</v>
      </c>
      <c r="E60" s="35">
        <v>1</v>
      </c>
      <c r="H60" s="43" t="s">
        <v>438</v>
      </c>
      <c r="I60" s="40">
        <f>D187*E187+D188*E188+D189*E189</f>
        <v>1860.2300130232557</v>
      </c>
      <c r="J60" s="21" t="s">
        <v>427</v>
      </c>
    </row>
    <row r="61" spans="1:10" ht="15.75" customHeight="1" x14ac:dyDescent="0.25">
      <c r="A61" s="36"/>
      <c r="B61" s="36"/>
      <c r="C61" s="37" t="s">
        <v>240</v>
      </c>
      <c r="D61" s="40">
        <f>bakimrecete!H15</f>
        <v>196.87020195348836</v>
      </c>
      <c r="E61" s="35">
        <v>12</v>
      </c>
      <c r="H61" s="43" t="s">
        <v>439</v>
      </c>
      <c r="I61" s="40">
        <f>D211*E211+D212*E212+D213*E213</f>
        <v>3021.6916048372095</v>
      </c>
      <c r="J61" s="21" t="s">
        <v>427</v>
      </c>
    </row>
    <row r="62" spans="1:10" x14ac:dyDescent="0.25">
      <c r="A62" s="36"/>
      <c r="B62" s="36"/>
      <c r="C62" s="37" t="s">
        <v>241</v>
      </c>
      <c r="D62" s="40">
        <f>bakimrecete!H23</f>
        <v>226.50785274418604</v>
      </c>
      <c r="E62" s="35">
        <v>6</v>
      </c>
    </row>
    <row r="63" spans="1:10" x14ac:dyDescent="0.25">
      <c r="A63" s="36"/>
      <c r="B63" s="36"/>
      <c r="C63" s="37" t="s">
        <v>242</v>
      </c>
      <c r="D63" s="40">
        <f>bakimrecete!H38</f>
        <v>474.87138916279071</v>
      </c>
      <c r="E63" s="35">
        <v>3</v>
      </c>
    </row>
    <row r="64" spans="1:10" x14ac:dyDescent="0.25">
      <c r="A64" s="36"/>
      <c r="B64" s="36"/>
      <c r="C64" s="37" t="s">
        <v>243</v>
      </c>
      <c r="D64" s="40">
        <f>bakimrecete!H54</f>
        <v>577.13557520930226</v>
      </c>
      <c r="E64" s="35">
        <v>3</v>
      </c>
      <c r="J64" s="9"/>
    </row>
    <row r="65" spans="1:10" x14ac:dyDescent="0.25">
      <c r="A65" s="36" t="s">
        <v>108</v>
      </c>
      <c r="B65" s="36">
        <v>6000</v>
      </c>
      <c r="C65" s="37" t="s">
        <v>331</v>
      </c>
      <c r="D65" s="40">
        <f>bakimrecete!H61</f>
        <v>224.73826095348835</v>
      </c>
      <c r="E65" s="35">
        <v>1</v>
      </c>
      <c r="J65" s="9"/>
    </row>
    <row r="66" spans="1:10" x14ac:dyDescent="0.25">
      <c r="A66" s="36"/>
      <c r="B66" s="36"/>
      <c r="C66" s="37" t="s">
        <v>346</v>
      </c>
      <c r="D66" s="40">
        <f>bakimrecete!H68</f>
        <v>224.73826095348835</v>
      </c>
      <c r="E66" s="35">
        <v>12</v>
      </c>
      <c r="J66" s="9"/>
    </row>
    <row r="67" spans="1:10" x14ac:dyDescent="0.25">
      <c r="A67" s="36"/>
      <c r="B67" s="36"/>
      <c r="C67" s="37" t="s">
        <v>347</v>
      </c>
      <c r="D67" s="40">
        <f>bakimrecete!H76</f>
        <v>276.73872474418602</v>
      </c>
      <c r="E67" s="35">
        <v>6</v>
      </c>
      <c r="J67" s="9"/>
    </row>
    <row r="68" spans="1:10" x14ac:dyDescent="0.25">
      <c r="A68" s="36"/>
      <c r="B68" s="36"/>
      <c r="C68" s="37" t="s">
        <v>348</v>
      </c>
      <c r="D68" s="40">
        <f>bakimrecete!H90</f>
        <v>496.87438216279065</v>
      </c>
      <c r="E68" s="35">
        <v>3</v>
      </c>
      <c r="J68" s="9"/>
    </row>
    <row r="69" spans="1:10" x14ac:dyDescent="0.25">
      <c r="A69" s="36"/>
      <c r="B69" s="36"/>
      <c r="C69" s="37" t="s">
        <v>349</v>
      </c>
      <c r="D69" s="40">
        <f>bakimrecete!H105</f>
        <v>599.13856820930232</v>
      </c>
      <c r="E69" s="35">
        <v>3</v>
      </c>
    </row>
    <row r="70" spans="1:10" x14ac:dyDescent="0.25">
      <c r="A70" s="36" t="s">
        <v>109</v>
      </c>
      <c r="B70" s="36">
        <v>6000</v>
      </c>
      <c r="C70" s="37" t="s">
        <v>327</v>
      </c>
      <c r="D70" s="40">
        <f>bakimrecete!H112</f>
        <v>290.23299265116282</v>
      </c>
      <c r="E70" s="35">
        <v>1</v>
      </c>
      <c r="J70" s="9"/>
    </row>
    <row r="71" spans="1:10" x14ac:dyDescent="0.25">
      <c r="A71" s="36"/>
      <c r="B71" s="36"/>
      <c r="C71" s="37" t="s">
        <v>350</v>
      </c>
      <c r="D71" s="40">
        <f>bakimrecete!H119</f>
        <v>290.23299265116282</v>
      </c>
      <c r="E71" s="35">
        <v>12</v>
      </c>
      <c r="J71" s="9"/>
    </row>
    <row r="72" spans="1:10" x14ac:dyDescent="0.25">
      <c r="A72" s="36"/>
      <c r="B72" s="36"/>
      <c r="C72" s="37" t="s">
        <v>351</v>
      </c>
      <c r="D72" s="40">
        <f>bakimrecete!H129</f>
        <v>274.82546665116274</v>
      </c>
      <c r="E72" s="35">
        <v>6</v>
      </c>
      <c r="J72" s="9"/>
    </row>
    <row r="73" spans="1:10" x14ac:dyDescent="0.25">
      <c r="A73" s="36"/>
      <c r="B73" s="36"/>
      <c r="C73" s="37" t="s">
        <v>352</v>
      </c>
      <c r="D73" s="40">
        <f>bakimrecete!H146</f>
        <v>719.03474186046503</v>
      </c>
      <c r="E73" s="35">
        <v>3</v>
      </c>
      <c r="J73" s="9"/>
    </row>
    <row r="74" spans="1:10" x14ac:dyDescent="0.25">
      <c r="A74" s="36"/>
      <c r="B74" s="36"/>
      <c r="C74" s="37" t="s">
        <v>364</v>
      </c>
      <c r="D74" s="40">
        <f>bakimrecete!H164</f>
        <v>923.56311395348825</v>
      </c>
      <c r="E74" s="35">
        <v>3</v>
      </c>
    </row>
    <row r="75" spans="1:10" x14ac:dyDescent="0.25">
      <c r="A75" s="36" t="s">
        <v>110</v>
      </c>
      <c r="B75" s="36">
        <v>6000</v>
      </c>
      <c r="C75" s="37" t="s">
        <v>328</v>
      </c>
      <c r="D75" s="40">
        <f>bakimrecete!H171</f>
        <v>257.25842411627906</v>
      </c>
      <c r="E75" s="35">
        <v>1</v>
      </c>
      <c r="J75" s="9"/>
    </row>
    <row r="76" spans="1:10" x14ac:dyDescent="0.25">
      <c r="A76" s="36"/>
      <c r="B76" s="36"/>
      <c r="C76" s="37" t="s">
        <v>353</v>
      </c>
      <c r="D76" s="40">
        <f>bakimrecete!H178</f>
        <v>257.25842411627906</v>
      </c>
      <c r="E76" s="35">
        <v>12</v>
      </c>
      <c r="J76" s="9"/>
    </row>
    <row r="77" spans="1:10" x14ac:dyDescent="0.25">
      <c r="A77" s="36"/>
      <c r="B77" s="36"/>
      <c r="C77" s="37" t="s">
        <v>354</v>
      </c>
      <c r="D77" s="40">
        <f>bakimrecete!H188</f>
        <v>274.82546665116274</v>
      </c>
      <c r="E77" s="35">
        <v>6</v>
      </c>
      <c r="J77" s="9"/>
    </row>
    <row r="78" spans="1:10" x14ac:dyDescent="0.25">
      <c r="A78" s="36"/>
      <c r="B78" s="36"/>
      <c r="C78" s="37" t="s">
        <v>355</v>
      </c>
      <c r="D78" s="40">
        <f>bakimrecete!H204</f>
        <v>580.54295832558137</v>
      </c>
      <c r="E78" s="35">
        <v>3</v>
      </c>
      <c r="J78" s="9"/>
    </row>
    <row r="79" spans="1:10" x14ac:dyDescent="0.25">
      <c r="A79" s="36"/>
      <c r="B79" s="36"/>
      <c r="C79" s="37" t="s">
        <v>356</v>
      </c>
      <c r="D79" s="40">
        <f>bakimrecete!H222</f>
        <v>1046.9052911627907</v>
      </c>
      <c r="E79" s="35">
        <v>3</v>
      </c>
    </row>
    <row r="80" spans="1:10" x14ac:dyDescent="0.25">
      <c r="A80" s="36" t="s">
        <v>111</v>
      </c>
      <c r="B80" s="36">
        <v>6000</v>
      </c>
      <c r="C80" s="37" t="s">
        <v>329</v>
      </c>
      <c r="D80" s="40">
        <f>bakimrecete!H229</f>
        <v>327.11609848837213</v>
      </c>
      <c r="E80" s="35">
        <v>1</v>
      </c>
      <c r="J80" s="9"/>
    </row>
    <row r="81" spans="1:10" x14ac:dyDescent="0.25">
      <c r="A81" s="36"/>
      <c r="B81" s="36"/>
      <c r="C81" s="37" t="s">
        <v>357</v>
      </c>
      <c r="D81" s="40">
        <f>bakimrecete!H235</f>
        <v>176.88013488372093</v>
      </c>
      <c r="E81" s="35">
        <v>12</v>
      </c>
      <c r="J81" s="9"/>
    </row>
    <row r="82" spans="1:10" x14ac:dyDescent="0.25">
      <c r="A82" s="36"/>
      <c r="B82" s="36"/>
      <c r="C82" s="37" t="s">
        <v>358</v>
      </c>
      <c r="D82" s="40">
        <f>bakimrecete!H247</f>
        <v>470.44558090697677</v>
      </c>
      <c r="E82" s="35">
        <v>6</v>
      </c>
      <c r="J82" s="9"/>
    </row>
    <row r="83" spans="1:10" x14ac:dyDescent="0.25">
      <c r="A83" s="36"/>
      <c r="B83" s="36"/>
      <c r="C83" s="37" t="s">
        <v>359</v>
      </c>
      <c r="D83" s="40">
        <f>bakimrecete!H265</f>
        <v>858.61602130232563</v>
      </c>
      <c r="E83" s="35">
        <v>3</v>
      </c>
      <c r="J83" s="9"/>
    </row>
    <row r="84" spans="1:10" x14ac:dyDescent="0.25">
      <c r="A84" s="36"/>
      <c r="B84" s="36"/>
      <c r="C84" s="37" t="s">
        <v>360</v>
      </c>
      <c r="D84" s="40">
        <f>bakimrecete!H285</f>
        <v>1324.978354139535</v>
      </c>
      <c r="E84" s="35">
        <v>3</v>
      </c>
    </row>
    <row r="85" spans="1:10" x14ac:dyDescent="0.25">
      <c r="A85" s="36" t="s">
        <v>112</v>
      </c>
      <c r="B85" s="36">
        <v>6000</v>
      </c>
      <c r="C85" s="37" t="s">
        <v>330</v>
      </c>
      <c r="D85" s="40">
        <f>bakimrecete!H292</f>
        <v>320.74674609302326</v>
      </c>
      <c r="E85" s="35">
        <v>1</v>
      </c>
      <c r="J85" s="9"/>
    </row>
    <row r="86" spans="1:10" x14ac:dyDescent="0.25">
      <c r="A86" s="36"/>
      <c r="B86" s="36"/>
      <c r="C86" s="37" t="s">
        <v>361</v>
      </c>
      <c r="D86" s="40">
        <f>bakimrecete!H301</f>
        <v>603.19797879069768</v>
      </c>
      <c r="E86" s="35">
        <v>6</v>
      </c>
      <c r="J86" s="9"/>
    </row>
    <row r="87" spans="1:10" x14ac:dyDescent="0.25">
      <c r="A87" s="36"/>
      <c r="B87" s="36"/>
      <c r="C87" s="37" t="s">
        <v>362</v>
      </c>
      <c r="D87" s="40">
        <f>bakimrecete!H321</f>
        <v>1186.7533319069767</v>
      </c>
      <c r="E87" s="35">
        <v>2</v>
      </c>
      <c r="J87" s="9"/>
    </row>
    <row r="88" spans="1:10" x14ac:dyDescent="0.25">
      <c r="A88" s="36"/>
      <c r="B88" s="36"/>
      <c r="C88" s="37" t="s">
        <v>363</v>
      </c>
      <c r="D88" s="40">
        <f>bakimrecete!H345</f>
        <v>1875.4098781162793</v>
      </c>
      <c r="E88" s="35">
        <v>3</v>
      </c>
      <c r="J88" s="9"/>
    </row>
    <row r="89" spans="1:10" x14ac:dyDescent="0.25">
      <c r="A89" s="21" t="s">
        <v>396</v>
      </c>
      <c r="B89" s="21">
        <v>9000</v>
      </c>
      <c r="C89" s="22" t="s">
        <v>239</v>
      </c>
      <c r="D89" s="40">
        <f>bakimrecete!H8</f>
        <v>196.87020195348836</v>
      </c>
      <c r="E89" s="35">
        <v>1</v>
      </c>
    </row>
    <row r="90" spans="1:10" x14ac:dyDescent="0.25">
      <c r="A90" s="21"/>
      <c r="B90" s="21"/>
      <c r="C90" s="22" t="s">
        <v>240</v>
      </c>
      <c r="D90" s="40">
        <f>bakimrecete!H15</f>
        <v>196.87020195348836</v>
      </c>
      <c r="E90" s="35">
        <v>18</v>
      </c>
      <c r="J90" s="9"/>
    </row>
    <row r="91" spans="1:10" x14ac:dyDescent="0.25">
      <c r="A91" s="21"/>
      <c r="B91" s="21"/>
      <c r="C91" s="22" t="s">
        <v>241</v>
      </c>
      <c r="D91" s="40">
        <f>bakimrecete!H23</f>
        <v>226.50785274418604</v>
      </c>
      <c r="E91" s="35">
        <v>9</v>
      </c>
      <c r="J91" s="9"/>
    </row>
    <row r="92" spans="1:10" x14ac:dyDescent="0.25">
      <c r="A92" s="21"/>
      <c r="B92" s="21"/>
      <c r="C92" s="22" t="s">
        <v>242</v>
      </c>
      <c r="D92" s="40">
        <f>bakimrecete!H38</f>
        <v>474.87138916279071</v>
      </c>
      <c r="E92" s="35">
        <v>5</v>
      </c>
      <c r="J92" s="9"/>
    </row>
    <row r="93" spans="1:10" x14ac:dyDescent="0.25">
      <c r="A93" s="21"/>
      <c r="B93" s="21"/>
      <c r="C93" s="22" t="s">
        <v>243</v>
      </c>
      <c r="D93" s="40">
        <f>bakimrecete!H54</f>
        <v>577.13557520930226</v>
      </c>
      <c r="E93" s="35">
        <v>4</v>
      </c>
    </row>
    <row r="94" spans="1:10" x14ac:dyDescent="0.25">
      <c r="A94" s="21" t="s">
        <v>108</v>
      </c>
      <c r="B94" s="21">
        <v>9000</v>
      </c>
      <c r="C94" s="22" t="s">
        <v>331</v>
      </c>
      <c r="D94" s="40">
        <f>bakimrecete!H61</f>
        <v>224.73826095348835</v>
      </c>
      <c r="E94" s="35">
        <v>1</v>
      </c>
    </row>
    <row r="95" spans="1:10" x14ac:dyDescent="0.25">
      <c r="A95" s="21"/>
      <c r="B95" s="21"/>
      <c r="C95" s="22" t="s">
        <v>346</v>
      </c>
      <c r="D95" s="40">
        <f>bakimrecete!H68</f>
        <v>224.73826095348835</v>
      </c>
      <c r="E95" s="35">
        <v>18</v>
      </c>
    </row>
    <row r="96" spans="1:10" x14ac:dyDescent="0.25">
      <c r="A96" s="21"/>
      <c r="B96" s="21"/>
      <c r="C96" s="22" t="s">
        <v>347</v>
      </c>
      <c r="D96" s="40">
        <f>bakimrecete!H76</f>
        <v>276.73872474418602</v>
      </c>
      <c r="E96" s="35">
        <v>9</v>
      </c>
    </row>
    <row r="97" spans="1:5" x14ac:dyDescent="0.25">
      <c r="A97" s="21"/>
      <c r="B97" s="21"/>
      <c r="C97" s="22" t="s">
        <v>348</v>
      </c>
      <c r="D97" s="40">
        <f>bakimrecete!H90</f>
        <v>496.87438216279065</v>
      </c>
      <c r="E97" s="35">
        <v>5</v>
      </c>
    </row>
    <row r="98" spans="1:5" x14ac:dyDescent="0.25">
      <c r="A98" s="21"/>
      <c r="B98" s="21"/>
      <c r="C98" s="22" t="s">
        <v>349</v>
      </c>
      <c r="D98" s="40">
        <f>bakimrecete!H105</f>
        <v>599.13856820930232</v>
      </c>
      <c r="E98" s="35">
        <v>4</v>
      </c>
    </row>
    <row r="99" spans="1:5" x14ac:dyDescent="0.25">
      <c r="A99" s="21" t="s">
        <v>109</v>
      </c>
      <c r="B99" s="21">
        <v>9000</v>
      </c>
      <c r="C99" s="22" t="s">
        <v>327</v>
      </c>
      <c r="D99" s="40">
        <f>bakimrecete!H112</f>
        <v>290.23299265116282</v>
      </c>
      <c r="E99" s="35">
        <v>1</v>
      </c>
    </row>
    <row r="100" spans="1:5" x14ac:dyDescent="0.25">
      <c r="A100" s="21"/>
      <c r="B100" s="21"/>
      <c r="C100" s="22" t="s">
        <v>350</v>
      </c>
      <c r="D100" s="40">
        <f>bakimrecete!H119</f>
        <v>290.23299265116282</v>
      </c>
      <c r="E100" s="35">
        <v>18</v>
      </c>
    </row>
    <row r="101" spans="1:5" x14ac:dyDescent="0.25">
      <c r="A101" s="21"/>
      <c r="B101" s="21"/>
      <c r="C101" s="22" t="s">
        <v>351</v>
      </c>
      <c r="D101" s="40">
        <f>bakimrecete!H129</f>
        <v>274.82546665116274</v>
      </c>
      <c r="E101" s="35">
        <v>9</v>
      </c>
    </row>
    <row r="102" spans="1:5" x14ac:dyDescent="0.25">
      <c r="A102" s="21"/>
      <c r="B102" s="21"/>
      <c r="C102" s="22" t="s">
        <v>352</v>
      </c>
      <c r="D102" s="40">
        <f>bakimrecete!H146</f>
        <v>719.03474186046503</v>
      </c>
      <c r="E102" s="35">
        <v>5</v>
      </c>
    </row>
    <row r="103" spans="1:5" x14ac:dyDescent="0.25">
      <c r="A103" s="21"/>
      <c r="B103" s="21"/>
      <c r="C103" s="22" t="s">
        <v>364</v>
      </c>
      <c r="D103" s="40">
        <f>bakimrecete!H164</f>
        <v>923.56311395348825</v>
      </c>
      <c r="E103" s="35">
        <v>4</v>
      </c>
    </row>
    <row r="104" spans="1:5" x14ac:dyDescent="0.25">
      <c r="A104" s="21" t="s">
        <v>110</v>
      </c>
      <c r="B104" s="21">
        <v>9000</v>
      </c>
      <c r="C104" s="22" t="s">
        <v>328</v>
      </c>
      <c r="D104" s="40">
        <f>bakimrecete!H171</f>
        <v>257.25842411627906</v>
      </c>
      <c r="E104" s="35">
        <v>1</v>
      </c>
    </row>
    <row r="105" spans="1:5" x14ac:dyDescent="0.25">
      <c r="A105" s="21"/>
      <c r="B105" s="21"/>
      <c r="C105" s="22" t="s">
        <v>353</v>
      </c>
      <c r="D105" s="40">
        <f>bakimrecete!H178</f>
        <v>257.25842411627906</v>
      </c>
      <c r="E105" s="35">
        <v>18</v>
      </c>
    </row>
    <row r="106" spans="1:5" x14ac:dyDescent="0.25">
      <c r="A106" s="21"/>
      <c r="B106" s="21"/>
      <c r="C106" s="22" t="s">
        <v>354</v>
      </c>
      <c r="D106" s="40">
        <f>bakimrecete!H188</f>
        <v>274.82546665116274</v>
      </c>
      <c r="E106" s="35">
        <v>9</v>
      </c>
    </row>
    <row r="107" spans="1:5" x14ac:dyDescent="0.25">
      <c r="A107" s="21"/>
      <c r="B107" s="21"/>
      <c r="C107" s="22" t="s">
        <v>355</v>
      </c>
      <c r="D107" s="40">
        <f>bakimrecete!H204</f>
        <v>580.54295832558137</v>
      </c>
      <c r="E107" s="35">
        <v>5</v>
      </c>
    </row>
    <row r="108" spans="1:5" x14ac:dyDescent="0.25">
      <c r="A108" s="21"/>
      <c r="B108" s="21"/>
      <c r="C108" s="22" t="s">
        <v>356</v>
      </c>
      <c r="D108" s="40">
        <f>bakimrecete!H222</f>
        <v>1046.9052911627907</v>
      </c>
      <c r="E108" s="35">
        <v>4</v>
      </c>
    </row>
    <row r="109" spans="1:5" x14ac:dyDescent="0.25">
      <c r="A109" s="21" t="s">
        <v>111</v>
      </c>
      <c r="B109" s="21">
        <v>9000</v>
      </c>
      <c r="C109" s="22" t="s">
        <v>329</v>
      </c>
      <c r="D109" s="40">
        <f>bakimrecete!H229</f>
        <v>327.11609848837213</v>
      </c>
      <c r="E109" s="35">
        <v>1</v>
      </c>
    </row>
    <row r="110" spans="1:5" x14ac:dyDescent="0.25">
      <c r="A110" s="21"/>
      <c r="B110" s="21"/>
      <c r="C110" s="22" t="s">
        <v>357</v>
      </c>
      <c r="D110" s="40">
        <f>bakimrecete!H235</f>
        <v>176.88013488372093</v>
      </c>
      <c r="E110" s="35">
        <v>18</v>
      </c>
    </row>
    <row r="111" spans="1:5" x14ac:dyDescent="0.25">
      <c r="A111" s="21"/>
      <c r="B111" s="21"/>
      <c r="C111" s="22" t="s">
        <v>358</v>
      </c>
      <c r="D111" s="40">
        <f>bakimrecete!H247</f>
        <v>470.44558090697677</v>
      </c>
      <c r="E111" s="35">
        <v>9</v>
      </c>
    </row>
    <row r="112" spans="1:5" x14ac:dyDescent="0.25">
      <c r="A112" s="21"/>
      <c r="B112" s="21"/>
      <c r="C112" s="22" t="s">
        <v>359</v>
      </c>
      <c r="D112" s="40">
        <f>bakimrecete!H265</f>
        <v>858.61602130232563</v>
      </c>
      <c r="E112" s="35">
        <v>5</v>
      </c>
    </row>
    <row r="113" spans="1:5" x14ac:dyDescent="0.25">
      <c r="A113" s="21"/>
      <c r="B113" s="21"/>
      <c r="C113" s="22" t="s">
        <v>360</v>
      </c>
      <c r="D113" s="40">
        <f>bakimrecete!H285</f>
        <v>1324.978354139535</v>
      </c>
      <c r="E113" s="35">
        <v>4</v>
      </c>
    </row>
    <row r="114" spans="1:5" x14ac:dyDescent="0.25">
      <c r="A114" s="21" t="s">
        <v>112</v>
      </c>
      <c r="B114" s="21">
        <v>9000</v>
      </c>
      <c r="C114" s="22" t="s">
        <v>330</v>
      </c>
      <c r="D114" s="40">
        <f>bakimrecete!H292</f>
        <v>320.74674609302326</v>
      </c>
      <c r="E114" s="35">
        <v>1</v>
      </c>
    </row>
    <row r="115" spans="1:5" x14ac:dyDescent="0.25">
      <c r="A115" s="21"/>
      <c r="B115" s="21"/>
      <c r="C115" s="22" t="s">
        <v>361</v>
      </c>
      <c r="D115" s="40">
        <f>bakimrecete!H301</f>
        <v>603.19797879069768</v>
      </c>
      <c r="E115" s="35">
        <v>9</v>
      </c>
    </row>
    <row r="116" spans="1:5" x14ac:dyDescent="0.25">
      <c r="A116" s="21"/>
      <c r="B116" s="21"/>
      <c r="C116" s="22" t="s">
        <v>362</v>
      </c>
      <c r="D116" s="40">
        <f>bakimrecete!H321</f>
        <v>1186.7533319069767</v>
      </c>
      <c r="E116" s="35">
        <v>5</v>
      </c>
    </row>
    <row r="117" spans="1:5" x14ac:dyDescent="0.25">
      <c r="A117" s="21"/>
      <c r="B117" s="21"/>
      <c r="C117" s="22" t="s">
        <v>363</v>
      </c>
      <c r="D117" s="40">
        <f>bakimrecete!H345</f>
        <v>1875.4098781162793</v>
      </c>
      <c r="E117" s="35">
        <v>4</v>
      </c>
    </row>
    <row r="118" spans="1:5" x14ac:dyDescent="0.25">
      <c r="A118" s="21" t="s">
        <v>187</v>
      </c>
      <c r="B118" s="21">
        <v>2000</v>
      </c>
      <c r="C118" s="34" t="s">
        <v>268</v>
      </c>
      <c r="D118" s="41">
        <f>bakimrecete!H348</f>
        <v>61.837209302325576</v>
      </c>
      <c r="E118" s="35">
        <v>2</v>
      </c>
    </row>
    <row r="119" spans="1:5" x14ac:dyDescent="0.25">
      <c r="A119" s="21"/>
      <c r="B119" s="21"/>
      <c r="C119" s="34" t="s">
        <v>269</v>
      </c>
      <c r="D119" s="41">
        <f>bakimrecete!H352</f>
        <v>86.904393279069765</v>
      </c>
      <c r="E119" s="35">
        <v>1</v>
      </c>
    </row>
    <row r="120" spans="1:5" x14ac:dyDescent="0.25">
      <c r="A120" s="21"/>
      <c r="B120" s="21"/>
      <c r="C120" s="34" t="s">
        <v>270</v>
      </c>
      <c r="D120" s="41">
        <f>bakimrecete!H360</f>
        <v>206.0343413953488</v>
      </c>
      <c r="E120" s="35">
        <v>1</v>
      </c>
    </row>
    <row r="121" spans="1:5" x14ac:dyDescent="0.25">
      <c r="A121" s="21" t="s">
        <v>188</v>
      </c>
      <c r="B121" s="21">
        <v>2000</v>
      </c>
      <c r="C121" s="34" t="s">
        <v>271</v>
      </c>
      <c r="D121" s="41">
        <f>bakimrecete!H363</f>
        <v>61.837209302325576</v>
      </c>
      <c r="E121" s="35">
        <v>2</v>
      </c>
    </row>
    <row r="122" spans="1:5" x14ac:dyDescent="0.25">
      <c r="A122" s="21"/>
      <c r="B122" s="21"/>
      <c r="C122" s="34" t="s">
        <v>272</v>
      </c>
      <c r="D122" s="41">
        <f>bakimrecete!H367</f>
        <v>86.904393279069765</v>
      </c>
      <c r="E122" s="35">
        <v>1</v>
      </c>
    </row>
    <row r="123" spans="1:5" x14ac:dyDescent="0.25">
      <c r="A123" s="21"/>
      <c r="B123" s="21"/>
      <c r="C123" s="34" t="s">
        <v>273</v>
      </c>
      <c r="D123" s="41">
        <f>bakimrecete!H375</f>
        <v>206.0343413953488</v>
      </c>
      <c r="E123" s="35">
        <v>1</v>
      </c>
    </row>
    <row r="124" spans="1:5" x14ac:dyDescent="0.25">
      <c r="A124" s="21" t="s">
        <v>201</v>
      </c>
      <c r="B124" s="21">
        <v>2000</v>
      </c>
      <c r="C124" s="34" t="s">
        <v>274</v>
      </c>
      <c r="D124" s="41">
        <f>bakimrecete!H378</f>
        <v>61.837209302325576</v>
      </c>
      <c r="E124" s="35">
        <v>2</v>
      </c>
    </row>
    <row r="125" spans="1:5" x14ac:dyDescent="0.25">
      <c r="A125" s="21"/>
      <c r="B125" s="21"/>
      <c r="C125" s="34" t="s">
        <v>275</v>
      </c>
      <c r="D125" s="41">
        <f>bakimrecete!H382</f>
        <v>86.904393279069765</v>
      </c>
      <c r="E125" s="35">
        <v>1</v>
      </c>
    </row>
    <row r="126" spans="1:5" x14ac:dyDescent="0.25">
      <c r="A126" s="21"/>
      <c r="B126" s="21"/>
      <c r="C126" s="34" t="s">
        <v>276</v>
      </c>
      <c r="D126" s="41">
        <f>bakimrecete!H390</f>
        <v>210.25876</v>
      </c>
      <c r="E126" s="35">
        <v>1</v>
      </c>
    </row>
    <row r="127" spans="1:5" x14ac:dyDescent="0.25">
      <c r="A127" s="21" t="s">
        <v>192</v>
      </c>
      <c r="B127" s="21">
        <v>2000</v>
      </c>
      <c r="C127" s="34" t="s">
        <v>332</v>
      </c>
      <c r="D127" s="41">
        <f>bakimrecete!H393</f>
        <v>65.534883720930225</v>
      </c>
      <c r="E127" s="35">
        <v>2</v>
      </c>
    </row>
    <row r="128" spans="1:5" x14ac:dyDescent="0.25">
      <c r="A128" s="21"/>
      <c r="B128" s="21"/>
      <c r="C128" s="34" t="s">
        <v>337</v>
      </c>
      <c r="D128" s="41">
        <f>bakimrecete!H397</f>
        <v>85.762488697674414</v>
      </c>
      <c r="E128" s="35">
        <v>1</v>
      </c>
    </row>
    <row r="129" spans="1:5" x14ac:dyDescent="0.25">
      <c r="A129" s="21"/>
      <c r="B129" s="21"/>
      <c r="C129" s="34" t="s">
        <v>342</v>
      </c>
      <c r="D129" s="41">
        <f>bakimrecete!H405</f>
        <v>225.0184845348837</v>
      </c>
      <c r="E129" s="35">
        <v>1</v>
      </c>
    </row>
    <row r="130" spans="1:5" x14ac:dyDescent="0.25">
      <c r="A130" s="21" t="s">
        <v>200</v>
      </c>
      <c r="B130" s="21">
        <v>2000</v>
      </c>
      <c r="C130" s="34" t="s">
        <v>333</v>
      </c>
      <c r="D130" s="41">
        <f>bakimrecete!H408</f>
        <v>65.534883720930225</v>
      </c>
      <c r="E130" s="35">
        <v>2</v>
      </c>
    </row>
    <row r="131" spans="1:5" x14ac:dyDescent="0.25">
      <c r="A131" s="21"/>
      <c r="B131" s="21"/>
      <c r="C131" s="34" t="s">
        <v>338</v>
      </c>
      <c r="D131" s="41">
        <f>bakimrecete!H412</f>
        <v>90.602067697674414</v>
      </c>
      <c r="E131" s="35">
        <v>1</v>
      </c>
    </row>
    <row r="132" spans="1:5" x14ac:dyDescent="0.25">
      <c r="A132" s="21"/>
      <c r="B132" s="21"/>
      <c r="C132" s="34" t="s">
        <v>280</v>
      </c>
      <c r="D132" s="41">
        <f>bakimrecete!H448</f>
        <v>266.41577553488366</v>
      </c>
      <c r="E132" s="35">
        <v>1</v>
      </c>
    </row>
    <row r="133" spans="1:5" x14ac:dyDescent="0.25">
      <c r="A133" s="21" t="s">
        <v>196</v>
      </c>
      <c r="B133" s="21">
        <v>2000</v>
      </c>
      <c r="C133" s="34" t="s">
        <v>334</v>
      </c>
      <c r="D133" s="41">
        <f>bakimrecete!H436</f>
        <v>65.534883720930225</v>
      </c>
      <c r="E133" s="35">
        <v>2</v>
      </c>
    </row>
    <row r="134" spans="1:5" x14ac:dyDescent="0.25">
      <c r="A134" s="21"/>
      <c r="B134" s="21"/>
      <c r="C134" s="34" t="s">
        <v>339</v>
      </c>
      <c r="D134" s="41">
        <f>bakimrecete!H440</f>
        <v>127.15977969767442</v>
      </c>
      <c r="E134" s="35">
        <v>1</v>
      </c>
    </row>
    <row r="135" spans="1:5" x14ac:dyDescent="0.25">
      <c r="A135" s="21"/>
      <c r="B135" s="21"/>
      <c r="C135" s="34" t="s">
        <v>343</v>
      </c>
      <c r="D135" s="41">
        <f>bakimrecete!H448</f>
        <v>266.41577553488366</v>
      </c>
      <c r="E135" s="35">
        <v>1</v>
      </c>
    </row>
    <row r="136" spans="1:5" x14ac:dyDescent="0.25">
      <c r="A136" s="21" t="s">
        <v>197</v>
      </c>
      <c r="B136" s="21">
        <v>2000</v>
      </c>
      <c r="C136" s="34" t="s">
        <v>335</v>
      </c>
      <c r="D136" s="41">
        <f>bakimrecete!H451</f>
        <v>69.232558139534888</v>
      </c>
      <c r="E136" s="35">
        <v>2</v>
      </c>
    </row>
    <row r="137" spans="1:5" x14ac:dyDescent="0.25">
      <c r="A137" s="21"/>
      <c r="B137" s="21"/>
      <c r="C137" s="34" t="s">
        <v>340</v>
      </c>
      <c r="D137" s="41">
        <f>bakimrecete!H455</f>
        <v>96.746518116279063</v>
      </c>
      <c r="E137" s="35">
        <v>1</v>
      </c>
    </row>
    <row r="138" spans="1:5" x14ac:dyDescent="0.25">
      <c r="A138" s="21"/>
      <c r="B138" s="21"/>
      <c r="C138" s="34" t="s">
        <v>344</v>
      </c>
      <c r="D138" s="41">
        <f>bakimrecete!H463</f>
        <v>284.26751160465119</v>
      </c>
      <c r="E138" s="35">
        <v>1</v>
      </c>
    </row>
    <row r="139" spans="1:5" x14ac:dyDescent="0.25">
      <c r="A139" s="21" t="s">
        <v>218</v>
      </c>
      <c r="B139" s="21">
        <v>2000</v>
      </c>
      <c r="C139" s="34" t="s">
        <v>336</v>
      </c>
      <c r="D139" s="41">
        <f>bakimrecete!H466</f>
        <v>80.930232558139537</v>
      </c>
      <c r="E139" s="35">
        <v>2</v>
      </c>
    </row>
    <row r="140" spans="1:5" x14ac:dyDescent="0.25">
      <c r="A140" s="21"/>
      <c r="B140" s="21"/>
      <c r="C140" s="34" t="s">
        <v>341</v>
      </c>
      <c r="D140" s="41">
        <f>bakimrecete!H472</f>
        <v>197.33772353488371</v>
      </c>
      <c r="E140" s="35">
        <v>1</v>
      </c>
    </row>
    <row r="141" spans="1:5" x14ac:dyDescent="0.25">
      <c r="A141" s="21"/>
      <c r="B141" s="21"/>
      <c r="C141" s="34" t="s">
        <v>345</v>
      </c>
      <c r="D141" s="41">
        <f>bakimrecete!H480</f>
        <v>326.6577235348837</v>
      </c>
      <c r="E141" s="35">
        <v>1</v>
      </c>
    </row>
    <row r="142" spans="1:5" x14ac:dyDescent="0.25">
      <c r="A142" s="21" t="s">
        <v>187</v>
      </c>
      <c r="B142" s="21">
        <v>3000</v>
      </c>
      <c r="C142" s="34" t="s">
        <v>268</v>
      </c>
      <c r="D142" s="41">
        <f>bakimrecete!H348</f>
        <v>61.837209302325576</v>
      </c>
      <c r="E142" s="35">
        <v>3</v>
      </c>
    </row>
    <row r="143" spans="1:5" x14ac:dyDescent="0.25">
      <c r="A143" s="21"/>
      <c r="B143" s="21"/>
      <c r="C143" s="34" t="s">
        <v>269</v>
      </c>
      <c r="D143" s="41">
        <f>bakimrecete!H352</f>
        <v>86.904393279069765</v>
      </c>
      <c r="E143" s="35">
        <v>2</v>
      </c>
    </row>
    <row r="144" spans="1:5" x14ac:dyDescent="0.25">
      <c r="A144" s="21"/>
      <c r="B144" s="21"/>
      <c r="C144" s="34" t="s">
        <v>270</v>
      </c>
      <c r="D144" s="41">
        <f>bakimrecete!H360</f>
        <v>206.0343413953488</v>
      </c>
      <c r="E144" s="35">
        <v>1</v>
      </c>
    </row>
    <row r="145" spans="1:7" x14ac:dyDescent="0.25">
      <c r="A145" s="21" t="s">
        <v>188</v>
      </c>
      <c r="B145" s="21">
        <v>3000</v>
      </c>
      <c r="C145" s="34" t="s">
        <v>271</v>
      </c>
      <c r="D145" s="41">
        <f>bakimrecete!H363</f>
        <v>61.837209302325576</v>
      </c>
      <c r="E145">
        <v>3</v>
      </c>
    </row>
    <row r="146" spans="1:7" x14ac:dyDescent="0.25">
      <c r="A146" s="21"/>
      <c r="B146" s="21"/>
      <c r="C146" s="34" t="s">
        <v>272</v>
      </c>
      <c r="D146" s="41">
        <f>bakimrecete!H367</f>
        <v>86.904393279069765</v>
      </c>
      <c r="E146">
        <v>2</v>
      </c>
    </row>
    <row r="147" spans="1:7" x14ac:dyDescent="0.25">
      <c r="A147" s="21"/>
      <c r="B147" s="21"/>
      <c r="C147" s="34" t="s">
        <v>273</v>
      </c>
      <c r="D147" s="41">
        <f>bakimrecete!H375</f>
        <v>206.0343413953488</v>
      </c>
      <c r="E147">
        <v>1</v>
      </c>
    </row>
    <row r="148" spans="1:7" x14ac:dyDescent="0.25">
      <c r="A148" s="21" t="s">
        <v>201</v>
      </c>
      <c r="B148" s="21">
        <v>3000</v>
      </c>
      <c r="C148" s="34" t="s">
        <v>274</v>
      </c>
      <c r="D148" s="41">
        <f>bakimrecete!H378</f>
        <v>61.837209302325576</v>
      </c>
      <c r="E148">
        <v>3</v>
      </c>
    </row>
    <row r="149" spans="1:7" x14ac:dyDescent="0.25">
      <c r="A149" s="21"/>
      <c r="B149" s="21"/>
      <c r="C149" s="34" t="s">
        <v>275</v>
      </c>
      <c r="D149" s="41">
        <f>bakimrecete!H382</f>
        <v>86.904393279069765</v>
      </c>
      <c r="E149">
        <v>2</v>
      </c>
      <c r="G149" s="1"/>
    </row>
    <row r="150" spans="1:7" x14ac:dyDescent="0.25">
      <c r="A150" s="21"/>
      <c r="B150" s="21"/>
      <c r="C150" s="34" t="s">
        <v>276</v>
      </c>
      <c r="D150" s="41">
        <f>bakimrecete!H390</f>
        <v>210.25876</v>
      </c>
      <c r="E150">
        <v>1</v>
      </c>
    </row>
    <row r="151" spans="1:7" x14ac:dyDescent="0.25">
      <c r="A151" s="21" t="s">
        <v>192</v>
      </c>
      <c r="B151" s="21">
        <v>3000</v>
      </c>
      <c r="C151" s="34" t="s">
        <v>332</v>
      </c>
      <c r="D151" s="41">
        <f>bakimrecete!H393</f>
        <v>65.534883720930225</v>
      </c>
      <c r="E151">
        <v>3</v>
      </c>
    </row>
    <row r="152" spans="1:7" x14ac:dyDescent="0.25">
      <c r="A152" s="21"/>
      <c r="B152" s="21"/>
      <c r="C152" s="34" t="s">
        <v>337</v>
      </c>
      <c r="D152" s="41">
        <f>bakimrecete!H397</f>
        <v>85.762488697674414</v>
      </c>
      <c r="E152">
        <v>2</v>
      </c>
      <c r="G152" s="1"/>
    </row>
    <row r="153" spans="1:7" x14ac:dyDescent="0.25">
      <c r="A153" s="21"/>
      <c r="B153" s="21"/>
      <c r="C153" s="34" t="s">
        <v>342</v>
      </c>
      <c r="D153" s="41">
        <f>bakimrecete!H405</f>
        <v>225.0184845348837</v>
      </c>
      <c r="E153">
        <v>1</v>
      </c>
    </row>
    <row r="154" spans="1:7" x14ac:dyDescent="0.25">
      <c r="A154" s="21" t="s">
        <v>200</v>
      </c>
      <c r="B154" s="21">
        <v>3000</v>
      </c>
      <c r="C154" s="34" t="s">
        <v>333</v>
      </c>
      <c r="D154" s="41">
        <f>bakimrecete!H408</f>
        <v>65.534883720930225</v>
      </c>
      <c r="E154">
        <v>3</v>
      </c>
    </row>
    <row r="155" spans="1:7" x14ac:dyDescent="0.25">
      <c r="A155" s="21"/>
      <c r="B155" s="21"/>
      <c r="C155" s="34" t="s">
        <v>338</v>
      </c>
      <c r="D155" s="41">
        <f>bakimrecete!H412</f>
        <v>90.602067697674414</v>
      </c>
      <c r="E155">
        <v>2</v>
      </c>
    </row>
    <row r="156" spans="1:7" x14ac:dyDescent="0.25">
      <c r="A156" s="21"/>
      <c r="B156" s="21"/>
      <c r="C156" s="34" t="s">
        <v>280</v>
      </c>
      <c r="D156" s="41">
        <f>bakimrecete!H419</f>
        <v>226.47575553488372</v>
      </c>
      <c r="E156">
        <v>1</v>
      </c>
    </row>
    <row r="157" spans="1:7" x14ac:dyDescent="0.25">
      <c r="A157" s="21" t="s">
        <v>196</v>
      </c>
      <c r="B157" s="21">
        <v>3000</v>
      </c>
      <c r="C157" s="34" t="s">
        <v>334</v>
      </c>
      <c r="D157" s="41">
        <f>bakimrecete!H436</f>
        <v>65.534883720930225</v>
      </c>
      <c r="E157">
        <v>3</v>
      </c>
    </row>
    <row r="158" spans="1:7" x14ac:dyDescent="0.25">
      <c r="A158" s="21"/>
      <c r="B158" s="21"/>
      <c r="C158" s="34" t="s">
        <v>339</v>
      </c>
      <c r="D158" s="41">
        <f>bakimrecete!H440</f>
        <v>127.15977969767442</v>
      </c>
      <c r="E158">
        <v>2</v>
      </c>
    </row>
    <row r="159" spans="1:7" x14ac:dyDescent="0.25">
      <c r="A159" s="21"/>
      <c r="B159" s="21"/>
      <c r="C159" s="34" t="s">
        <v>343</v>
      </c>
      <c r="D159" s="41">
        <f>bakimrecete!H448</f>
        <v>266.41577553488366</v>
      </c>
      <c r="E159">
        <v>1</v>
      </c>
    </row>
    <row r="160" spans="1:7" x14ac:dyDescent="0.25">
      <c r="A160" s="21" t="s">
        <v>197</v>
      </c>
      <c r="B160" s="21">
        <v>3000</v>
      </c>
      <c r="C160" s="34" t="s">
        <v>335</v>
      </c>
      <c r="D160" s="41">
        <f>bakimrecete!H451</f>
        <v>69.232558139534888</v>
      </c>
      <c r="E160">
        <v>3</v>
      </c>
    </row>
    <row r="161" spans="1:5" x14ac:dyDescent="0.25">
      <c r="A161" s="21"/>
      <c r="B161" s="21"/>
      <c r="C161" s="34" t="s">
        <v>340</v>
      </c>
      <c r="D161" s="41">
        <f>bakimrecete!H455</f>
        <v>96.746518116279063</v>
      </c>
      <c r="E161">
        <v>2</v>
      </c>
    </row>
    <row r="162" spans="1:5" x14ac:dyDescent="0.25">
      <c r="A162" s="21"/>
      <c r="B162" s="21"/>
      <c r="C162" s="34" t="s">
        <v>344</v>
      </c>
      <c r="D162" s="41">
        <f>bakimrecete!H463</f>
        <v>284.26751160465119</v>
      </c>
      <c r="E162">
        <v>1</v>
      </c>
    </row>
    <row r="163" spans="1:5" x14ac:dyDescent="0.25">
      <c r="A163" s="21" t="s">
        <v>218</v>
      </c>
      <c r="B163" s="21">
        <v>3000</v>
      </c>
      <c r="C163" s="34" t="s">
        <v>336</v>
      </c>
      <c r="D163" s="41">
        <f>bakimrecete!H466</f>
        <v>80.930232558139537</v>
      </c>
      <c r="E163">
        <v>3</v>
      </c>
    </row>
    <row r="164" spans="1:5" x14ac:dyDescent="0.25">
      <c r="A164" s="21"/>
      <c r="B164" s="21"/>
      <c r="C164" s="34" t="s">
        <v>341</v>
      </c>
      <c r="D164" s="41">
        <f>bakimrecete!H472</f>
        <v>197.33772353488371</v>
      </c>
      <c r="E164">
        <v>2</v>
      </c>
    </row>
    <row r="165" spans="1:5" x14ac:dyDescent="0.25">
      <c r="A165" s="21"/>
      <c r="B165" s="21"/>
      <c r="C165" s="34" t="s">
        <v>345</v>
      </c>
      <c r="D165" s="41">
        <f>bakimrecete!H480</f>
        <v>326.6577235348837</v>
      </c>
      <c r="E165">
        <v>1</v>
      </c>
    </row>
    <row r="166" spans="1:5" x14ac:dyDescent="0.25">
      <c r="A166" s="21" t="s">
        <v>187</v>
      </c>
      <c r="B166" s="21">
        <v>6000</v>
      </c>
      <c r="C166" s="38" t="s">
        <v>268</v>
      </c>
      <c r="D166" s="42">
        <f>bakimrecete!H348</f>
        <v>61.837209302325576</v>
      </c>
      <c r="E166">
        <v>6</v>
      </c>
    </row>
    <row r="167" spans="1:5" x14ac:dyDescent="0.25">
      <c r="A167" s="21"/>
      <c r="B167" s="21"/>
      <c r="C167" s="38" t="s">
        <v>269</v>
      </c>
      <c r="D167" s="42">
        <f>bakimrecete!H352</f>
        <v>86.904393279069765</v>
      </c>
      <c r="E167">
        <v>2</v>
      </c>
    </row>
    <row r="168" spans="1:5" x14ac:dyDescent="0.25">
      <c r="A168" s="21"/>
      <c r="B168" s="21"/>
      <c r="C168" s="38" t="s">
        <v>270</v>
      </c>
      <c r="D168" s="42">
        <f>bakimrecete!H360</f>
        <v>206.0343413953488</v>
      </c>
      <c r="E168">
        <v>3</v>
      </c>
    </row>
    <row r="169" spans="1:5" x14ac:dyDescent="0.25">
      <c r="A169" s="21" t="s">
        <v>188</v>
      </c>
      <c r="B169" s="21">
        <v>6000</v>
      </c>
      <c r="C169" s="38" t="s">
        <v>271</v>
      </c>
      <c r="D169" s="42">
        <f>bakimrecete!H363</f>
        <v>61.837209302325576</v>
      </c>
      <c r="E169">
        <v>6</v>
      </c>
    </row>
    <row r="170" spans="1:5" x14ac:dyDescent="0.25">
      <c r="A170" s="21"/>
      <c r="B170" s="21"/>
      <c r="C170" s="38" t="s">
        <v>272</v>
      </c>
      <c r="D170" s="42">
        <f>bakimrecete!H367</f>
        <v>86.904393279069765</v>
      </c>
      <c r="E170">
        <v>2</v>
      </c>
    </row>
    <row r="171" spans="1:5" x14ac:dyDescent="0.25">
      <c r="A171" s="21"/>
      <c r="B171" s="21"/>
      <c r="C171" s="38" t="s">
        <v>273</v>
      </c>
      <c r="D171" s="42">
        <f>bakimrecete!H375</f>
        <v>206.0343413953488</v>
      </c>
      <c r="E171">
        <v>3</v>
      </c>
    </row>
    <row r="172" spans="1:5" x14ac:dyDescent="0.25">
      <c r="A172" s="21" t="s">
        <v>201</v>
      </c>
      <c r="B172" s="21">
        <v>6000</v>
      </c>
      <c r="C172" s="38" t="s">
        <v>274</v>
      </c>
      <c r="D172" s="42">
        <f>bakimrecete!H378</f>
        <v>61.837209302325576</v>
      </c>
      <c r="E172">
        <v>6</v>
      </c>
    </row>
    <row r="173" spans="1:5" x14ac:dyDescent="0.25">
      <c r="A173" s="21"/>
      <c r="B173" s="21"/>
      <c r="C173" s="38" t="s">
        <v>275</v>
      </c>
      <c r="D173" s="42">
        <f>bakimrecete!H382</f>
        <v>86.904393279069765</v>
      </c>
      <c r="E173">
        <v>2</v>
      </c>
    </row>
    <row r="174" spans="1:5" x14ac:dyDescent="0.25">
      <c r="A174" s="21"/>
      <c r="B174" s="21"/>
      <c r="C174" s="38" t="s">
        <v>276</v>
      </c>
      <c r="D174" s="42">
        <f>bakimrecete!H390</f>
        <v>210.25876</v>
      </c>
      <c r="E174">
        <v>3</v>
      </c>
    </row>
    <row r="175" spans="1:5" x14ac:dyDescent="0.25">
      <c r="A175" s="21" t="s">
        <v>192</v>
      </c>
      <c r="B175" s="21">
        <v>6000</v>
      </c>
      <c r="C175" s="38" t="s">
        <v>332</v>
      </c>
      <c r="D175" s="42">
        <f>bakimrecete!H393</f>
        <v>65.534883720930225</v>
      </c>
      <c r="E175">
        <v>6</v>
      </c>
    </row>
    <row r="176" spans="1:5" x14ac:dyDescent="0.25">
      <c r="A176" s="21"/>
      <c r="B176" s="21"/>
      <c r="C176" s="38" t="s">
        <v>337</v>
      </c>
      <c r="D176" s="42">
        <f>bakimrecete!H397</f>
        <v>85.762488697674414</v>
      </c>
      <c r="E176">
        <v>2</v>
      </c>
    </row>
    <row r="177" spans="1:5" x14ac:dyDescent="0.25">
      <c r="A177" s="21"/>
      <c r="B177" s="21"/>
      <c r="C177" s="38" t="s">
        <v>342</v>
      </c>
      <c r="D177" s="42">
        <f>bakimrecete!H405</f>
        <v>225.0184845348837</v>
      </c>
      <c r="E177">
        <v>3</v>
      </c>
    </row>
    <row r="178" spans="1:5" x14ac:dyDescent="0.25">
      <c r="A178" s="21" t="s">
        <v>200</v>
      </c>
      <c r="B178" s="21">
        <v>6000</v>
      </c>
      <c r="C178" s="38" t="s">
        <v>333</v>
      </c>
      <c r="D178" s="42">
        <f>bakimrecete!H408</f>
        <v>65.534883720930225</v>
      </c>
      <c r="E178">
        <v>6</v>
      </c>
    </row>
    <row r="179" spans="1:5" x14ac:dyDescent="0.25">
      <c r="A179" s="21"/>
      <c r="B179" s="21"/>
      <c r="C179" s="38" t="s">
        <v>338</v>
      </c>
      <c r="D179" s="42">
        <f>bakimrecete!H412</f>
        <v>90.602067697674414</v>
      </c>
      <c r="E179">
        <v>2</v>
      </c>
    </row>
    <row r="180" spans="1:5" x14ac:dyDescent="0.25">
      <c r="A180" s="21"/>
      <c r="B180" s="21"/>
      <c r="C180" s="38" t="s">
        <v>280</v>
      </c>
      <c r="D180" s="42">
        <f>bakimrecete!H419</f>
        <v>226.47575553488372</v>
      </c>
      <c r="E180">
        <v>3</v>
      </c>
    </row>
    <row r="181" spans="1:5" x14ac:dyDescent="0.25">
      <c r="A181" s="21" t="s">
        <v>196</v>
      </c>
      <c r="B181" s="21">
        <v>6000</v>
      </c>
      <c r="C181" s="38" t="s">
        <v>334</v>
      </c>
      <c r="D181" s="42">
        <f>bakimrecete!H436</f>
        <v>65.534883720930225</v>
      </c>
      <c r="E181">
        <v>6</v>
      </c>
    </row>
    <row r="182" spans="1:5" x14ac:dyDescent="0.25">
      <c r="A182" s="21"/>
      <c r="B182" s="21"/>
      <c r="C182" s="38" t="s">
        <v>339</v>
      </c>
      <c r="D182" s="42">
        <f>bakimrecete!H440</f>
        <v>127.15977969767442</v>
      </c>
      <c r="E182">
        <v>2</v>
      </c>
    </row>
    <row r="183" spans="1:5" x14ac:dyDescent="0.25">
      <c r="A183" s="21"/>
      <c r="B183" s="21"/>
      <c r="C183" s="38" t="s">
        <v>343</v>
      </c>
      <c r="D183" s="42">
        <f>bakimrecete!H448</f>
        <v>266.41577553488366</v>
      </c>
      <c r="E183">
        <v>3</v>
      </c>
    </row>
    <row r="184" spans="1:5" x14ac:dyDescent="0.25">
      <c r="A184" s="21" t="s">
        <v>197</v>
      </c>
      <c r="B184" s="21">
        <v>6000</v>
      </c>
      <c r="C184" s="38" t="s">
        <v>335</v>
      </c>
      <c r="D184" s="42">
        <f>bakimrecete!H451</f>
        <v>69.232558139534888</v>
      </c>
      <c r="E184">
        <v>6</v>
      </c>
    </row>
    <row r="185" spans="1:5" x14ac:dyDescent="0.25">
      <c r="A185" s="21"/>
      <c r="B185" s="21"/>
      <c r="C185" s="38" t="s">
        <v>340</v>
      </c>
      <c r="D185" s="42">
        <f>bakimrecete!H455</f>
        <v>96.746518116279063</v>
      </c>
      <c r="E185">
        <v>2</v>
      </c>
    </row>
    <row r="186" spans="1:5" x14ac:dyDescent="0.25">
      <c r="A186" s="21"/>
      <c r="B186" s="21"/>
      <c r="C186" s="38" t="s">
        <v>344</v>
      </c>
      <c r="D186" s="42">
        <f>bakimrecete!H463</f>
        <v>284.26751160465119</v>
      </c>
      <c r="E186">
        <v>3</v>
      </c>
    </row>
    <row r="187" spans="1:5" x14ac:dyDescent="0.25">
      <c r="A187" s="21" t="s">
        <v>218</v>
      </c>
      <c r="B187" s="21">
        <v>6000</v>
      </c>
      <c r="C187" s="38" t="s">
        <v>336</v>
      </c>
      <c r="D187" s="42">
        <f>bakimrecete!H466</f>
        <v>80.930232558139537</v>
      </c>
      <c r="E187">
        <v>6</v>
      </c>
    </row>
    <row r="188" spans="1:5" x14ac:dyDescent="0.25">
      <c r="A188" s="21"/>
      <c r="B188" s="21"/>
      <c r="C188" s="38" t="s">
        <v>341</v>
      </c>
      <c r="D188" s="42">
        <f>bakimrecete!H472</f>
        <v>197.33772353488371</v>
      </c>
      <c r="E188">
        <v>2</v>
      </c>
    </row>
    <row r="189" spans="1:5" x14ac:dyDescent="0.25">
      <c r="A189" s="21"/>
      <c r="B189" s="21"/>
      <c r="C189" s="38" t="s">
        <v>345</v>
      </c>
      <c r="D189" s="42">
        <f>bakimrecete!H480</f>
        <v>326.6577235348837</v>
      </c>
      <c r="E189">
        <v>3</v>
      </c>
    </row>
    <row r="190" spans="1:5" x14ac:dyDescent="0.25">
      <c r="A190" s="21" t="s">
        <v>187</v>
      </c>
      <c r="B190" s="21">
        <v>9000</v>
      </c>
      <c r="C190" s="34" t="s">
        <v>268</v>
      </c>
      <c r="D190" s="41">
        <f>bakimrecete!H348</f>
        <v>61.837209302325576</v>
      </c>
      <c r="E190" s="21">
        <v>9</v>
      </c>
    </row>
    <row r="191" spans="1:5" x14ac:dyDescent="0.25">
      <c r="A191" s="21"/>
      <c r="B191" s="21"/>
      <c r="C191" s="34" t="s">
        <v>269</v>
      </c>
      <c r="D191" s="41">
        <f>bakimrecete!H352</f>
        <v>86.904393279069765</v>
      </c>
      <c r="E191">
        <v>5</v>
      </c>
    </row>
    <row r="192" spans="1:5" x14ac:dyDescent="0.25">
      <c r="A192" s="21"/>
      <c r="B192" s="21"/>
      <c r="C192" s="34" t="s">
        <v>270</v>
      </c>
      <c r="D192" s="41">
        <f>bakimrecete!H360</f>
        <v>206.0343413953488</v>
      </c>
      <c r="E192">
        <v>4</v>
      </c>
    </row>
    <row r="193" spans="1:5" x14ac:dyDescent="0.25">
      <c r="A193" s="21" t="s">
        <v>188</v>
      </c>
      <c r="B193" s="21">
        <v>9000</v>
      </c>
      <c r="C193" s="34" t="s">
        <v>271</v>
      </c>
      <c r="D193" s="41">
        <f>bakimrecete!H363</f>
        <v>61.837209302325576</v>
      </c>
      <c r="E193">
        <v>9</v>
      </c>
    </row>
    <row r="194" spans="1:5" x14ac:dyDescent="0.25">
      <c r="A194" s="21"/>
      <c r="B194" s="21"/>
      <c r="C194" s="34" t="s">
        <v>272</v>
      </c>
      <c r="D194" s="41">
        <f>bakimrecete!H367</f>
        <v>86.904393279069765</v>
      </c>
      <c r="E194">
        <v>5</v>
      </c>
    </row>
    <row r="195" spans="1:5" x14ac:dyDescent="0.25">
      <c r="A195" s="21"/>
      <c r="B195" s="21"/>
      <c r="C195" s="34" t="s">
        <v>273</v>
      </c>
      <c r="D195" s="41">
        <f>bakimrecete!H375</f>
        <v>206.0343413953488</v>
      </c>
      <c r="E195">
        <v>4</v>
      </c>
    </row>
    <row r="196" spans="1:5" x14ac:dyDescent="0.25">
      <c r="A196" s="21" t="s">
        <v>201</v>
      </c>
      <c r="B196" s="21">
        <v>9000</v>
      </c>
      <c r="C196" s="34" t="s">
        <v>274</v>
      </c>
      <c r="D196" s="41">
        <f>bakimrecete!H378</f>
        <v>61.837209302325576</v>
      </c>
      <c r="E196" s="21">
        <v>9</v>
      </c>
    </row>
    <row r="197" spans="1:5" x14ac:dyDescent="0.25">
      <c r="A197" s="21"/>
      <c r="B197" s="21"/>
      <c r="C197" s="34" t="s">
        <v>275</v>
      </c>
      <c r="D197" s="41">
        <f>bakimrecete!H382</f>
        <v>86.904393279069765</v>
      </c>
      <c r="E197">
        <v>5</v>
      </c>
    </row>
    <row r="198" spans="1:5" x14ac:dyDescent="0.25">
      <c r="A198" s="21"/>
      <c r="B198" s="21"/>
      <c r="C198" s="34" t="s">
        <v>276</v>
      </c>
      <c r="D198" s="41">
        <f>bakimrecete!H390</f>
        <v>210.25876</v>
      </c>
      <c r="E198">
        <v>4</v>
      </c>
    </row>
    <row r="199" spans="1:5" x14ac:dyDescent="0.25">
      <c r="A199" s="21" t="s">
        <v>192</v>
      </c>
      <c r="B199" s="21">
        <v>9000</v>
      </c>
      <c r="C199" s="34" t="s">
        <v>332</v>
      </c>
      <c r="D199" s="41">
        <f>bakimrecete!H393</f>
        <v>65.534883720930225</v>
      </c>
      <c r="E199" s="21">
        <v>9</v>
      </c>
    </row>
    <row r="200" spans="1:5" x14ac:dyDescent="0.25">
      <c r="A200" s="21"/>
      <c r="B200" s="21"/>
      <c r="C200" s="34" t="s">
        <v>337</v>
      </c>
      <c r="D200" s="41">
        <f>bakimrecete!H412</f>
        <v>90.602067697674414</v>
      </c>
      <c r="E200">
        <v>5</v>
      </c>
    </row>
    <row r="201" spans="1:5" x14ac:dyDescent="0.25">
      <c r="A201" s="21"/>
      <c r="B201" s="21"/>
      <c r="C201" s="34" t="s">
        <v>342</v>
      </c>
      <c r="D201" s="41">
        <f>bakimrecete!H419</f>
        <v>226.47575553488372</v>
      </c>
      <c r="E201">
        <v>4</v>
      </c>
    </row>
    <row r="202" spans="1:5" x14ac:dyDescent="0.25">
      <c r="A202" s="21" t="s">
        <v>200</v>
      </c>
      <c r="B202" s="21">
        <v>9000</v>
      </c>
      <c r="C202" s="34" t="s">
        <v>333</v>
      </c>
      <c r="D202" s="41">
        <f>bakimrecete!H408</f>
        <v>65.534883720930225</v>
      </c>
      <c r="E202" s="21">
        <v>9</v>
      </c>
    </row>
    <row r="203" spans="1:5" x14ac:dyDescent="0.25">
      <c r="A203" s="21"/>
      <c r="B203" s="21"/>
      <c r="C203" s="34" t="s">
        <v>338</v>
      </c>
      <c r="D203" s="41">
        <f>bakimrecete!H412</f>
        <v>90.602067697674414</v>
      </c>
      <c r="E203">
        <v>5</v>
      </c>
    </row>
    <row r="204" spans="1:5" x14ac:dyDescent="0.25">
      <c r="A204" s="21"/>
      <c r="B204" s="21"/>
      <c r="C204" s="34" t="s">
        <v>280</v>
      </c>
      <c r="D204" s="41">
        <f>bakimrecete!H419</f>
        <v>226.47575553488372</v>
      </c>
      <c r="E204">
        <v>4</v>
      </c>
    </row>
    <row r="205" spans="1:5" x14ac:dyDescent="0.25">
      <c r="A205" s="21" t="s">
        <v>196</v>
      </c>
      <c r="B205" s="21">
        <v>9000</v>
      </c>
      <c r="C205" s="34" t="s">
        <v>334</v>
      </c>
      <c r="D205" s="41">
        <f>bakimrecete!H436</f>
        <v>65.534883720930225</v>
      </c>
      <c r="E205" s="21">
        <v>9</v>
      </c>
    </row>
    <row r="206" spans="1:5" x14ac:dyDescent="0.25">
      <c r="A206" s="21"/>
      <c r="B206" s="21"/>
      <c r="C206" s="34" t="s">
        <v>339</v>
      </c>
      <c r="D206" s="41">
        <f>bakimrecete!H440</f>
        <v>127.15977969767442</v>
      </c>
      <c r="E206">
        <v>5</v>
      </c>
    </row>
    <row r="207" spans="1:5" x14ac:dyDescent="0.25">
      <c r="A207" s="21"/>
      <c r="B207" s="21"/>
      <c r="C207" s="34" t="s">
        <v>343</v>
      </c>
      <c r="D207" s="41">
        <f>bakimrecete!H448</f>
        <v>266.41577553488366</v>
      </c>
      <c r="E207">
        <v>4</v>
      </c>
    </row>
    <row r="208" spans="1:5" x14ac:dyDescent="0.25">
      <c r="A208" s="21" t="s">
        <v>197</v>
      </c>
      <c r="B208" s="21">
        <v>9000</v>
      </c>
      <c r="C208" s="34" t="s">
        <v>335</v>
      </c>
      <c r="D208" s="41">
        <f>bakimrecete!H451</f>
        <v>69.232558139534888</v>
      </c>
      <c r="E208" s="21">
        <v>9</v>
      </c>
    </row>
    <row r="209" spans="1:5" x14ac:dyDescent="0.25">
      <c r="A209" s="21"/>
      <c r="B209" s="21"/>
      <c r="C209" s="34" t="s">
        <v>340</v>
      </c>
      <c r="D209" s="41">
        <f>bakimrecete!H455</f>
        <v>96.746518116279063</v>
      </c>
      <c r="E209">
        <v>5</v>
      </c>
    </row>
    <row r="210" spans="1:5" x14ac:dyDescent="0.25">
      <c r="A210" s="21"/>
      <c r="B210" s="21"/>
      <c r="C210" s="34" t="s">
        <v>344</v>
      </c>
      <c r="D210" s="41">
        <f>bakimrecete!H463</f>
        <v>284.26751160465119</v>
      </c>
      <c r="E210">
        <v>4</v>
      </c>
    </row>
    <row r="211" spans="1:5" x14ac:dyDescent="0.25">
      <c r="A211" s="21" t="s">
        <v>218</v>
      </c>
      <c r="B211" s="21">
        <v>9000</v>
      </c>
      <c r="C211" s="34" t="s">
        <v>336</v>
      </c>
      <c r="D211" s="41">
        <f>bakimrecete!H466</f>
        <v>80.930232558139537</v>
      </c>
      <c r="E211" s="21">
        <v>9</v>
      </c>
    </row>
    <row r="212" spans="1:5" x14ac:dyDescent="0.25">
      <c r="C212" s="34" t="s">
        <v>341</v>
      </c>
      <c r="D212" s="41">
        <f>bakimrecete!H472</f>
        <v>197.33772353488371</v>
      </c>
      <c r="E212">
        <v>5</v>
      </c>
    </row>
    <row r="213" spans="1:5" x14ac:dyDescent="0.25">
      <c r="C213" s="34" t="s">
        <v>345</v>
      </c>
      <c r="D213" s="41">
        <f>bakimrecete!H480</f>
        <v>326.6577235348837</v>
      </c>
      <c r="E213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"/>
  <dimension ref="A1:E16"/>
  <sheetViews>
    <sheetView workbookViewId="0">
      <selection activeCell="B12" sqref="B12"/>
    </sheetView>
  </sheetViews>
  <sheetFormatPr defaultRowHeight="15" x14ac:dyDescent="0.25"/>
  <cols>
    <col min="1" max="1" width="5.85546875" customWidth="1"/>
    <col min="2" max="2" width="15.5703125" bestFit="1" customWidth="1"/>
    <col min="3" max="3" width="23.5703125" bestFit="1" customWidth="1"/>
    <col min="4" max="4" width="11.42578125" customWidth="1"/>
    <col min="5" max="5" width="10.85546875" bestFit="1" customWidth="1"/>
  </cols>
  <sheetData>
    <row r="1" spans="1:5" x14ac:dyDescent="0.25">
      <c r="A1" t="s">
        <v>459</v>
      </c>
      <c r="B1" t="s">
        <v>460</v>
      </c>
      <c r="C1" t="s">
        <v>461</v>
      </c>
      <c r="D1" t="s">
        <v>462</v>
      </c>
      <c r="E1" t="s">
        <v>463</v>
      </c>
    </row>
    <row r="2" spans="1:5" x14ac:dyDescent="0.25">
      <c r="A2">
        <v>1</v>
      </c>
      <c r="B2" t="s">
        <v>396</v>
      </c>
      <c r="C2" t="s">
        <v>464</v>
      </c>
      <c r="D2" t="s">
        <v>236</v>
      </c>
      <c r="E2" s="49">
        <v>42300</v>
      </c>
    </row>
    <row r="3" spans="1:5" x14ac:dyDescent="0.25">
      <c r="A3">
        <v>2</v>
      </c>
      <c r="B3" t="s">
        <v>108</v>
      </c>
      <c r="C3" t="s">
        <v>465</v>
      </c>
      <c r="D3" t="s">
        <v>236</v>
      </c>
      <c r="E3" s="49">
        <v>32500</v>
      </c>
    </row>
    <row r="4" spans="1:5" x14ac:dyDescent="0.25">
      <c r="A4">
        <v>3</v>
      </c>
      <c r="B4" t="s">
        <v>109</v>
      </c>
      <c r="C4" t="s">
        <v>466</v>
      </c>
      <c r="D4" t="s">
        <v>236</v>
      </c>
      <c r="E4" s="49">
        <v>66920</v>
      </c>
    </row>
    <row r="5" spans="1:5" x14ac:dyDescent="0.25">
      <c r="A5">
        <v>4</v>
      </c>
      <c r="B5" t="s">
        <v>110</v>
      </c>
      <c r="C5" t="s">
        <v>467</v>
      </c>
      <c r="D5" t="s">
        <v>236</v>
      </c>
      <c r="E5" s="49">
        <v>101100</v>
      </c>
    </row>
    <row r="6" spans="1:5" x14ac:dyDescent="0.25">
      <c r="A6">
        <v>5</v>
      </c>
      <c r="B6" t="s">
        <v>111</v>
      </c>
      <c r="C6" t="s">
        <v>468</v>
      </c>
      <c r="D6" t="s">
        <v>236</v>
      </c>
      <c r="E6" s="49">
        <v>139500</v>
      </c>
    </row>
    <row r="7" spans="1:5" x14ac:dyDescent="0.25">
      <c r="A7">
        <v>6</v>
      </c>
      <c r="B7" t="s">
        <v>112</v>
      </c>
      <c r="C7" t="s">
        <v>469</v>
      </c>
      <c r="D7" t="s">
        <v>236</v>
      </c>
      <c r="E7" s="49">
        <v>206500</v>
      </c>
    </row>
    <row r="8" spans="1:5" x14ac:dyDescent="0.25">
      <c r="A8">
        <v>7</v>
      </c>
      <c r="B8" s="1" t="s">
        <v>187</v>
      </c>
      <c r="C8" s="1" t="s">
        <v>470</v>
      </c>
      <c r="D8" t="s">
        <v>237</v>
      </c>
      <c r="E8" s="49">
        <v>30500</v>
      </c>
    </row>
    <row r="9" spans="1:5" x14ac:dyDescent="0.25">
      <c r="A9">
        <v>8</v>
      </c>
      <c r="B9" s="1" t="s">
        <v>188</v>
      </c>
      <c r="C9" s="1" t="s">
        <v>471</v>
      </c>
      <c r="D9" t="s">
        <v>237</v>
      </c>
      <c r="E9" s="49">
        <v>32500</v>
      </c>
    </row>
    <row r="10" spans="1:5" x14ac:dyDescent="0.25">
      <c r="A10">
        <v>9</v>
      </c>
      <c r="B10" s="1" t="s">
        <v>190</v>
      </c>
      <c r="C10" s="1" t="s">
        <v>472</v>
      </c>
      <c r="D10" t="s">
        <v>237</v>
      </c>
      <c r="E10" s="49">
        <v>34500</v>
      </c>
    </row>
    <row r="11" spans="1:5" x14ac:dyDescent="0.25">
      <c r="A11">
        <v>10</v>
      </c>
      <c r="B11" s="1" t="s">
        <v>192</v>
      </c>
      <c r="C11" s="1" t="s">
        <v>473</v>
      </c>
      <c r="D11" t="s">
        <v>237</v>
      </c>
      <c r="E11" s="49">
        <v>35000</v>
      </c>
    </row>
    <row r="12" spans="1:5" x14ac:dyDescent="0.25">
      <c r="A12">
        <v>11</v>
      </c>
      <c r="B12" s="1" t="s">
        <v>193</v>
      </c>
      <c r="C12" s="1" t="s">
        <v>474</v>
      </c>
      <c r="D12" t="s">
        <v>237</v>
      </c>
      <c r="E12" s="49">
        <v>42500</v>
      </c>
    </row>
    <row r="13" spans="1:5" x14ac:dyDescent="0.25">
      <c r="A13">
        <v>12</v>
      </c>
      <c r="B13" s="1" t="s">
        <v>194</v>
      </c>
      <c r="C13" s="1" t="s">
        <v>475</v>
      </c>
      <c r="D13" t="s">
        <v>237</v>
      </c>
      <c r="E13" s="49">
        <v>46300</v>
      </c>
    </row>
    <row r="14" spans="1:5" x14ac:dyDescent="0.25">
      <c r="A14">
        <v>13</v>
      </c>
      <c r="B14" s="1" t="s">
        <v>196</v>
      </c>
      <c r="C14" s="1" t="s">
        <v>476</v>
      </c>
      <c r="D14" t="s">
        <v>237</v>
      </c>
      <c r="E14" s="49">
        <v>37000</v>
      </c>
    </row>
    <row r="15" spans="1:5" x14ac:dyDescent="0.25">
      <c r="A15">
        <v>14</v>
      </c>
      <c r="B15" s="1" t="s">
        <v>197</v>
      </c>
      <c r="C15" s="1" t="s">
        <v>477</v>
      </c>
      <c r="D15" t="s">
        <v>237</v>
      </c>
      <c r="E15" s="49">
        <v>69450</v>
      </c>
    </row>
    <row r="16" spans="1:5" x14ac:dyDescent="0.25">
      <c r="A16">
        <v>15</v>
      </c>
      <c r="B16" s="1" t="s">
        <v>427</v>
      </c>
      <c r="C16" s="1" t="s">
        <v>478</v>
      </c>
      <c r="D16" t="s">
        <v>237</v>
      </c>
      <c r="E16" s="49">
        <v>41000</v>
      </c>
    </row>
  </sheetData>
  <autoFilter ref="D1:E16"/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2"/>
  <dimension ref="A1:D105"/>
  <sheetViews>
    <sheetView tabSelected="1" topLeftCell="B1" workbookViewId="0">
      <selection activeCell="F57" sqref="F57"/>
    </sheetView>
  </sheetViews>
  <sheetFormatPr defaultRowHeight="15" x14ac:dyDescent="0.25"/>
  <cols>
    <col min="1" max="1" width="22.42578125" customWidth="1"/>
    <col min="2" max="2" width="24" customWidth="1"/>
    <col min="4" max="4" width="9.140625" style="1"/>
    <col min="5" max="5" width="35.7109375" bestFit="1" customWidth="1"/>
    <col min="6" max="6" width="31.85546875" bestFit="1" customWidth="1"/>
  </cols>
  <sheetData>
    <row r="1" spans="1:4" x14ac:dyDescent="0.25">
      <c r="A1" t="s">
        <v>232</v>
      </c>
      <c r="B1" t="s">
        <v>442</v>
      </c>
      <c r="C1" t="s">
        <v>219</v>
      </c>
      <c r="D1" s="1" t="s">
        <v>220</v>
      </c>
    </row>
    <row r="2" spans="1:4" x14ac:dyDescent="0.25">
      <c r="A2" s="18">
        <v>3289492</v>
      </c>
      <c r="B2" s="2" t="s">
        <v>30</v>
      </c>
      <c r="C2" s="45">
        <v>198.81854100000001</v>
      </c>
      <c r="D2" s="1" t="s">
        <v>98</v>
      </c>
    </row>
    <row r="3" spans="1:4" x14ac:dyDescent="0.25">
      <c r="A3" s="2" t="s">
        <v>115</v>
      </c>
      <c r="B3" s="2" t="s">
        <v>116</v>
      </c>
      <c r="C3" s="45">
        <v>26.788599000000001</v>
      </c>
      <c r="D3" s="1" t="s">
        <v>98</v>
      </c>
    </row>
    <row r="4" spans="1:4" x14ac:dyDescent="0.25">
      <c r="A4" s="2" t="s">
        <v>117</v>
      </c>
      <c r="B4" s="2" t="s">
        <v>118</v>
      </c>
      <c r="C4" s="45">
        <v>14.356818000000001</v>
      </c>
      <c r="D4" s="1" t="s">
        <v>98</v>
      </c>
    </row>
    <row r="5" spans="1:4" x14ac:dyDescent="0.25">
      <c r="A5" s="2" t="s">
        <v>31</v>
      </c>
      <c r="B5" s="2" t="s">
        <v>32</v>
      </c>
      <c r="C5" s="45">
        <v>5.8650659999999997</v>
      </c>
      <c r="D5" s="1" t="s">
        <v>98</v>
      </c>
    </row>
    <row r="6" spans="1:4" x14ac:dyDescent="0.25">
      <c r="A6" s="2" t="s">
        <v>33</v>
      </c>
      <c r="B6" s="2" t="s">
        <v>34</v>
      </c>
      <c r="C6" s="45">
        <v>29.343320999999996</v>
      </c>
      <c r="D6" s="1" t="s">
        <v>98</v>
      </c>
    </row>
    <row r="7" spans="1:4" x14ac:dyDescent="0.25">
      <c r="A7" s="2" t="s">
        <v>35</v>
      </c>
      <c r="B7" s="2" t="s">
        <v>36</v>
      </c>
      <c r="C7" s="45">
        <v>21.283352999999998</v>
      </c>
      <c r="D7" s="1" t="s">
        <v>98</v>
      </c>
    </row>
    <row r="8" spans="1:4" x14ac:dyDescent="0.25">
      <c r="A8" s="2" t="s">
        <v>119</v>
      </c>
      <c r="B8" s="2" t="s">
        <v>37</v>
      </c>
      <c r="C8" s="45">
        <v>21.823083</v>
      </c>
      <c r="D8" s="1" t="s">
        <v>98</v>
      </c>
    </row>
    <row r="9" spans="1:4" x14ac:dyDescent="0.25">
      <c r="A9" s="2" t="s">
        <v>38</v>
      </c>
      <c r="B9" s="2" t="s">
        <v>37</v>
      </c>
      <c r="C9" s="45">
        <v>20.221883999999999</v>
      </c>
      <c r="D9" s="1" t="s">
        <v>98</v>
      </c>
    </row>
    <row r="10" spans="1:4" x14ac:dyDescent="0.25">
      <c r="A10" s="2" t="s">
        <v>120</v>
      </c>
      <c r="B10" s="2" t="s">
        <v>34</v>
      </c>
      <c r="C10" s="45">
        <v>49.457258999999993</v>
      </c>
      <c r="D10" s="1" t="s">
        <v>98</v>
      </c>
    </row>
    <row r="11" spans="1:4" x14ac:dyDescent="0.25">
      <c r="A11" s="2" t="s">
        <v>39</v>
      </c>
      <c r="B11" s="2" t="s">
        <v>34</v>
      </c>
      <c r="C11" s="45">
        <v>31.088448</v>
      </c>
      <c r="D11" s="1" t="s">
        <v>98</v>
      </c>
    </row>
    <row r="12" spans="1:4" x14ac:dyDescent="0.25">
      <c r="A12" s="2" t="s">
        <v>121</v>
      </c>
      <c r="B12" s="2" t="s">
        <v>122</v>
      </c>
      <c r="C12" s="45">
        <v>6.3148409999999995</v>
      </c>
      <c r="D12" s="1" t="s">
        <v>98</v>
      </c>
    </row>
    <row r="13" spans="1:4" x14ac:dyDescent="0.25">
      <c r="A13" s="2" t="s">
        <v>40</v>
      </c>
      <c r="B13" s="2" t="s">
        <v>34</v>
      </c>
      <c r="C13" s="45">
        <v>93.229361999999995</v>
      </c>
      <c r="D13" s="1" t="s">
        <v>98</v>
      </c>
    </row>
    <row r="14" spans="1:4" x14ac:dyDescent="0.25">
      <c r="A14" s="2" t="s">
        <v>41</v>
      </c>
      <c r="B14" s="2" t="s">
        <v>37</v>
      </c>
      <c r="C14" s="45">
        <v>38.284848000000004</v>
      </c>
      <c r="D14" s="1" t="s">
        <v>98</v>
      </c>
    </row>
    <row r="15" spans="1:4" x14ac:dyDescent="0.25">
      <c r="A15" s="2" t="s">
        <v>42</v>
      </c>
      <c r="B15" s="2" t="s">
        <v>43</v>
      </c>
      <c r="C15" s="45">
        <v>14.554718999999999</v>
      </c>
      <c r="D15" s="1" t="s">
        <v>98</v>
      </c>
    </row>
    <row r="16" spans="1:4" x14ac:dyDescent="0.25">
      <c r="A16" s="2" t="s">
        <v>44</v>
      </c>
      <c r="B16" s="2" t="s">
        <v>45</v>
      </c>
      <c r="C16" s="45">
        <v>55.376297999999998</v>
      </c>
      <c r="D16" s="1" t="s">
        <v>98</v>
      </c>
    </row>
    <row r="17" spans="1:4" x14ac:dyDescent="0.25">
      <c r="A17" s="2" t="s">
        <v>123</v>
      </c>
      <c r="B17" s="2" t="s">
        <v>46</v>
      </c>
      <c r="C17" s="45">
        <v>37.943019</v>
      </c>
      <c r="D17" s="1" t="s">
        <v>98</v>
      </c>
    </row>
    <row r="18" spans="1:4" x14ac:dyDescent="0.25">
      <c r="A18" s="2" t="s">
        <v>124</v>
      </c>
      <c r="B18" s="2" t="s">
        <v>125</v>
      </c>
      <c r="C18" s="45">
        <v>58.938515999999993</v>
      </c>
      <c r="D18" s="1" t="s">
        <v>98</v>
      </c>
    </row>
    <row r="19" spans="1:4" x14ac:dyDescent="0.25">
      <c r="A19" s="2" t="s">
        <v>126</v>
      </c>
      <c r="B19" s="2" t="s">
        <v>47</v>
      </c>
      <c r="C19" s="45">
        <v>24.053966999999997</v>
      </c>
      <c r="D19" s="1" t="s">
        <v>98</v>
      </c>
    </row>
    <row r="20" spans="1:4" x14ac:dyDescent="0.25">
      <c r="A20" s="18" t="s">
        <v>127</v>
      </c>
      <c r="B20" s="2" t="s">
        <v>34</v>
      </c>
      <c r="C20" s="45">
        <v>29.343320999999996</v>
      </c>
      <c r="D20" s="1" t="s">
        <v>98</v>
      </c>
    </row>
    <row r="21" spans="1:4" x14ac:dyDescent="0.25">
      <c r="A21" s="2" t="s">
        <v>48</v>
      </c>
      <c r="B21" s="2" t="s">
        <v>49</v>
      </c>
      <c r="C21" s="45">
        <v>8.9415269999999989</v>
      </c>
      <c r="D21" s="1" t="s">
        <v>98</v>
      </c>
    </row>
    <row r="22" spans="1:4" x14ac:dyDescent="0.25">
      <c r="A22" s="2" t="s">
        <v>50</v>
      </c>
      <c r="B22" s="2" t="s">
        <v>46</v>
      </c>
      <c r="C22" s="45">
        <v>75.004478999999989</v>
      </c>
      <c r="D22" s="1" t="s">
        <v>98</v>
      </c>
    </row>
    <row r="23" spans="1:4" x14ac:dyDescent="0.25">
      <c r="A23" s="2" t="s">
        <v>51</v>
      </c>
      <c r="B23" s="2" t="s">
        <v>49</v>
      </c>
      <c r="C23" s="45">
        <v>27.238374</v>
      </c>
      <c r="D23" s="1" t="s">
        <v>98</v>
      </c>
    </row>
    <row r="24" spans="1:4" x14ac:dyDescent="0.25">
      <c r="A24" s="2" t="s">
        <v>128</v>
      </c>
      <c r="B24" s="2" t="s">
        <v>47</v>
      </c>
      <c r="C24" s="45">
        <v>35.981999999999999</v>
      </c>
      <c r="D24" s="1" t="s">
        <v>98</v>
      </c>
    </row>
    <row r="25" spans="1:4" x14ac:dyDescent="0.25">
      <c r="A25" s="2" t="s">
        <v>129</v>
      </c>
      <c r="B25" s="2" t="s">
        <v>46</v>
      </c>
      <c r="C25" s="45">
        <v>39.238370999999994</v>
      </c>
      <c r="D25" s="1" t="s">
        <v>98</v>
      </c>
    </row>
    <row r="26" spans="1:4" x14ac:dyDescent="0.25">
      <c r="A26" s="2" t="s">
        <v>52</v>
      </c>
      <c r="B26" s="2" t="s">
        <v>34</v>
      </c>
      <c r="C26" s="45">
        <v>51.886043999999998</v>
      </c>
      <c r="D26" s="1" t="s">
        <v>98</v>
      </c>
    </row>
    <row r="27" spans="1:4" x14ac:dyDescent="0.25">
      <c r="A27" s="2" t="s">
        <v>53</v>
      </c>
      <c r="B27" s="2" t="s">
        <v>37</v>
      </c>
      <c r="C27" s="45">
        <v>32.383800000000001</v>
      </c>
      <c r="D27" s="1" t="s">
        <v>98</v>
      </c>
    </row>
    <row r="28" spans="1:4" x14ac:dyDescent="0.25">
      <c r="A28" s="2" t="s">
        <v>130</v>
      </c>
      <c r="B28" s="2" t="s">
        <v>131</v>
      </c>
      <c r="C28" s="45">
        <v>5.7751109999999999</v>
      </c>
      <c r="D28" s="1" t="s">
        <v>98</v>
      </c>
    </row>
    <row r="29" spans="1:4" x14ac:dyDescent="0.25">
      <c r="A29" s="2" t="s">
        <v>54</v>
      </c>
      <c r="B29" s="2" t="s">
        <v>45</v>
      </c>
      <c r="C29" s="45">
        <v>140.50970999999998</v>
      </c>
      <c r="D29" s="1" t="s">
        <v>98</v>
      </c>
    </row>
    <row r="30" spans="1:4" x14ac:dyDescent="0.25">
      <c r="A30" s="2" t="s">
        <v>55</v>
      </c>
      <c r="B30" s="2" t="s">
        <v>56</v>
      </c>
      <c r="C30" s="45">
        <v>15.814088999999997</v>
      </c>
      <c r="D30" s="1" t="s">
        <v>98</v>
      </c>
    </row>
    <row r="31" spans="1:4" x14ac:dyDescent="0.25">
      <c r="A31" s="2" t="s">
        <v>57</v>
      </c>
      <c r="B31" s="2" t="s">
        <v>132</v>
      </c>
      <c r="C31" s="45">
        <v>27.274355999999997</v>
      </c>
      <c r="D31" s="1" t="s">
        <v>98</v>
      </c>
    </row>
    <row r="32" spans="1:4" x14ac:dyDescent="0.25">
      <c r="A32" s="2" t="s">
        <v>58</v>
      </c>
      <c r="B32" s="2" t="s">
        <v>59</v>
      </c>
      <c r="C32" s="45">
        <v>139.50221400000001</v>
      </c>
      <c r="D32" s="1" t="s">
        <v>98</v>
      </c>
    </row>
    <row r="33" spans="1:4" x14ac:dyDescent="0.25">
      <c r="A33" s="2" t="s">
        <v>60</v>
      </c>
      <c r="B33" s="2" t="s">
        <v>59</v>
      </c>
      <c r="C33" s="45">
        <v>61.313327999999991</v>
      </c>
      <c r="D33" s="1" t="s">
        <v>98</v>
      </c>
    </row>
    <row r="34" spans="1:4" x14ac:dyDescent="0.25">
      <c r="A34" s="2" t="s">
        <v>61</v>
      </c>
      <c r="B34" s="2" t="s">
        <v>49</v>
      </c>
      <c r="C34" s="45">
        <v>55.682144999999998</v>
      </c>
      <c r="D34" s="1" t="s">
        <v>98</v>
      </c>
    </row>
    <row r="35" spans="1:4" x14ac:dyDescent="0.25">
      <c r="A35" s="2" t="s">
        <v>133</v>
      </c>
      <c r="B35" s="2" t="s">
        <v>62</v>
      </c>
      <c r="C35" s="45">
        <v>77.613174000000001</v>
      </c>
      <c r="D35" s="1" t="s">
        <v>98</v>
      </c>
    </row>
    <row r="36" spans="1:4" x14ac:dyDescent="0.25">
      <c r="A36" s="2" t="s">
        <v>134</v>
      </c>
      <c r="B36" s="2" t="s">
        <v>135</v>
      </c>
      <c r="C36" s="45">
        <v>3.3643170000000002</v>
      </c>
      <c r="D36" s="1" t="s">
        <v>98</v>
      </c>
    </row>
    <row r="37" spans="1:4" x14ac:dyDescent="0.25">
      <c r="A37" s="2" t="s">
        <v>63</v>
      </c>
      <c r="B37" s="2" t="s">
        <v>64</v>
      </c>
      <c r="C37" s="45">
        <v>3.3823079999999996</v>
      </c>
      <c r="D37" s="1" t="s">
        <v>98</v>
      </c>
    </row>
    <row r="38" spans="1:4" x14ac:dyDescent="0.25">
      <c r="A38" s="2" t="s">
        <v>66</v>
      </c>
      <c r="B38" s="2" t="s">
        <v>65</v>
      </c>
      <c r="C38" s="45">
        <v>3.3823079999999996</v>
      </c>
      <c r="D38" s="1" t="s">
        <v>98</v>
      </c>
    </row>
    <row r="39" spans="1:4" x14ac:dyDescent="0.25">
      <c r="A39" s="2" t="s">
        <v>66</v>
      </c>
      <c r="B39" s="2" t="s">
        <v>64</v>
      </c>
      <c r="C39" s="45">
        <v>3.3823079999999996</v>
      </c>
      <c r="D39" s="1" t="s">
        <v>98</v>
      </c>
    </row>
    <row r="40" spans="1:4" x14ac:dyDescent="0.25">
      <c r="A40" s="2" t="s">
        <v>136</v>
      </c>
      <c r="B40" s="2" t="s">
        <v>137</v>
      </c>
      <c r="C40" s="45">
        <v>15.886052999999999</v>
      </c>
      <c r="D40" s="1" t="s">
        <v>98</v>
      </c>
    </row>
    <row r="41" spans="1:4" x14ac:dyDescent="0.25">
      <c r="A41" s="2" t="s">
        <v>138</v>
      </c>
      <c r="B41" s="2" t="s">
        <v>139</v>
      </c>
      <c r="C41" s="45">
        <v>69.643160999999992</v>
      </c>
      <c r="D41" s="1" t="s">
        <v>98</v>
      </c>
    </row>
    <row r="42" spans="1:4" x14ac:dyDescent="0.25">
      <c r="A42" s="2" t="s">
        <v>67</v>
      </c>
      <c r="B42" s="2" t="s">
        <v>68</v>
      </c>
      <c r="C42" s="45">
        <v>26.500743</v>
      </c>
      <c r="D42" s="1" t="s">
        <v>98</v>
      </c>
    </row>
    <row r="43" spans="1:4" x14ac:dyDescent="0.25">
      <c r="A43" s="2" t="s">
        <v>69</v>
      </c>
      <c r="B43" s="2" t="s">
        <v>70</v>
      </c>
      <c r="C43" s="45">
        <v>43.987994999999998</v>
      </c>
      <c r="D43" s="1" t="s">
        <v>98</v>
      </c>
    </row>
    <row r="44" spans="1:4" x14ac:dyDescent="0.25">
      <c r="A44" s="2" t="s">
        <v>140</v>
      </c>
      <c r="B44" s="2" t="s">
        <v>68</v>
      </c>
      <c r="C44" s="45">
        <v>12.05397</v>
      </c>
      <c r="D44" s="1" t="s">
        <v>98</v>
      </c>
    </row>
    <row r="45" spans="1:4" x14ac:dyDescent="0.25">
      <c r="A45" s="2" t="s">
        <v>141</v>
      </c>
      <c r="B45" s="2" t="s">
        <v>142</v>
      </c>
      <c r="C45" s="45">
        <v>19.880054999999999</v>
      </c>
      <c r="D45" s="1" t="s">
        <v>98</v>
      </c>
    </row>
    <row r="46" spans="1:4" x14ac:dyDescent="0.25">
      <c r="A46" s="2" t="s">
        <v>143</v>
      </c>
      <c r="B46" s="2" t="s">
        <v>68</v>
      </c>
      <c r="C46" s="45">
        <v>20.167911</v>
      </c>
      <c r="D46" s="1" t="s">
        <v>98</v>
      </c>
    </row>
    <row r="47" spans="1:4" x14ac:dyDescent="0.25">
      <c r="A47" s="2" t="s">
        <v>71</v>
      </c>
      <c r="B47" s="2" t="s">
        <v>70</v>
      </c>
      <c r="C47" s="45">
        <v>33.679151999999995</v>
      </c>
      <c r="D47" s="1" t="s">
        <v>98</v>
      </c>
    </row>
    <row r="48" spans="1:4" x14ac:dyDescent="0.25">
      <c r="A48" s="2" t="s">
        <v>72</v>
      </c>
      <c r="B48" s="2" t="s">
        <v>73</v>
      </c>
      <c r="C48" s="45">
        <v>17.307341999999998</v>
      </c>
      <c r="D48" s="1" t="s">
        <v>98</v>
      </c>
    </row>
    <row r="49" spans="1:4" x14ac:dyDescent="0.25">
      <c r="A49" s="2" t="s">
        <v>74</v>
      </c>
      <c r="B49" s="2" t="s">
        <v>75</v>
      </c>
      <c r="C49" s="45">
        <v>129.966984</v>
      </c>
      <c r="D49" s="1" t="s">
        <v>98</v>
      </c>
    </row>
    <row r="50" spans="1:4" x14ac:dyDescent="0.25">
      <c r="A50" s="2" t="s">
        <v>76</v>
      </c>
      <c r="B50" s="2" t="s">
        <v>32</v>
      </c>
      <c r="C50" s="45">
        <v>8.2398779999999991</v>
      </c>
      <c r="D50" s="1" t="s">
        <v>98</v>
      </c>
    </row>
    <row r="51" spans="1:4" x14ac:dyDescent="0.25">
      <c r="A51" s="2" t="s">
        <v>144</v>
      </c>
      <c r="B51" s="2" t="s">
        <v>137</v>
      </c>
      <c r="C51" s="45">
        <v>8.5996980000000001</v>
      </c>
      <c r="D51" s="1" t="s">
        <v>98</v>
      </c>
    </row>
    <row r="52" spans="1:4" x14ac:dyDescent="0.25">
      <c r="A52" s="2" t="s">
        <v>77</v>
      </c>
      <c r="B52" s="2" t="s">
        <v>70</v>
      </c>
      <c r="C52" s="45">
        <v>83.676140999999987</v>
      </c>
      <c r="D52" s="1" t="s">
        <v>98</v>
      </c>
    </row>
    <row r="53" spans="1:4" x14ac:dyDescent="0.25">
      <c r="A53" s="2" t="s">
        <v>78</v>
      </c>
      <c r="B53" s="2" t="s">
        <v>70</v>
      </c>
      <c r="C53" s="45">
        <v>45.805086000000003</v>
      </c>
      <c r="D53" s="1" t="s">
        <v>98</v>
      </c>
    </row>
    <row r="54" spans="1:4" x14ac:dyDescent="0.25">
      <c r="A54" s="2" t="s">
        <v>145</v>
      </c>
      <c r="B54" s="2" t="s">
        <v>137</v>
      </c>
      <c r="C54" s="45">
        <v>49.996988999999999</v>
      </c>
      <c r="D54" s="1" t="s">
        <v>98</v>
      </c>
    </row>
    <row r="55" spans="1:4" x14ac:dyDescent="0.25">
      <c r="A55" s="2" t="s">
        <v>79</v>
      </c>
      <c r="B55" s="2" t="s">
        <v>70</v>
      </c>
      <c r="C55" s="45">
        <v>87.544205999999988</v>
      </c>
      <c r="D55" s="1" t="s">
        <v>98</v>
      </c>
    </row>
    <row r="56" spans="1:4" x14ac:dyDescent="0.25">
      <c r="A56" s="2" t="s">
        <v>80</v>
      </c>
      <c r="B56" s="2" t="s">
        <v>81</v>
      </c>
      <c r="C56" s="45">
        <v>23.352318</v>
      </c>
      <c r="D56" s="1" t="s">
        <v>98</v>
      </c>
    </row>
    <row r="57" spans="1:4" x14ac:dyDescent="0.25">
      <c r="A57" s="2" t="s">
        <v>146</v>
      </c>
      <c r="B57" s="2" t="s">
        <v>147</v>
      </c>
      <c r="C57" s="45">
        <v>9.1394280000000006</v>
      </c>
      <c r="D57" s="1" t="s">
        <v>98</v>
      </c>
    </row>
    <row r="58" spans="1:4" x14ac:dyDescent="0.25">
      <c r="A58" s="2" t="s">
        <v>82</v>
      </c>
      <c r="B58" s="2" t="s">
        <v>83</v>
      </c>
      <c r="C58" s="45">
        <v>13.835079</v>
      </c>
      <c r="D58" s="1" t="s">
        <v>98</v>
      </c>
    </row>
    <row r="59" spans="1:4" x14ac:dyDescent="0.25">
      <c r="A59" s="2" t="s">
        <v>148</v>
      </c>
      <c r="B59" s="2" t="s">
        <v>142</v>
      </c>
      <c r="C59" s="45">
        <v>67.304330999999991</v>
      </c>
      <c r="D59" s="1" t="s">
        <v>98</v>
      </c>
    </row>
    <row r="60" spans="1:4" x14ac:dyDescent="0.25">
      <c r="A60" s="2" t="s">
        <v>143</v>
      </c>
      <c r="B60" s="2" t="s">
        <v>137</v>
      </c>
      <c r="C60" s="45">
        <v>20.167911</v>
      </c>
      <c r="D60" s="1" t="s">
        <v>98</v>
      </c>
    </row>
    <row r="61" spans="1:4" x14ac:dyDescent="0.25">
      <c r="A61" s="2" t="s">
        <v>149</v>
      </c>
      <c r="B61" s="2" t="s">
        <v>70</v>
      </c>
      <c r="C61" s="45">
        <v>38.482748999999998</v>
      </c>
      <c r="D61" s="1" t="s">
        <v>98</v>
      </c>
    </row>
    <row r="62" spans="1:4" x14ac:dyDescent="0.25">
      <c r="A62" s="2" t="s">
        <v>84</v>
      </c>
      <c r="B62" s="2" t="s">
        <v>68</v>
      </c>
      <c r="C62" s="45">
        <v>26.680653</v>
      </c>
      <c r="D62" s="1" t="s">
        <v>98</v>
      </c>
    </row>
    <row r="63" spans="1:4" x14ac:dyDescent="0.25">
      <c r="A63" s="2" t="s">
        <v>150</v>
      </c>
      <c r="B63" s="2" t="s">
        <v>151</v>
      </c>
      <c r="C63" s="45">
        <v>6.242877</v>
      </c>
      <c r="D63" s="1" t="s">
        <v>98</v>
      </c>
    </row>
    <row r="64" spans="1:4" x14ac:dyDescent="0.25">
      <c r="A64" s="2" t="s">
        <v>152</v>
      </c>
      <c r="B64" s="2" t="s">
        <v>70</v>
      </c>
      <c r="C64" s="45">
        <v>13.439276999999999</v>
      </c>
      <c r="D64" s="1" t="s">
        <v>98</v>
      </c>
    </row>
    <row r="65" spans="1:4" x14ac:dyDescent="0.25">
      <c r="A65" s="2" t="s">
        <v>153</v>
      </c>
      <c r="B65" s="2" t="s">
        <v>68</v>
      </c>
      <c r="C65" s="45">
        <v>11.316338999999999</v>
      </c>
      <c r="D65" s="1" t="s">
        <v>98</v>
      </c>
    </row>
    <row r="66" spans="1:4" x14ac:dyDescent="0.25">
      <c r="A66" s="2" t="s">
        <v>85</v>
      </c>
      <c r="B66" s="2" t="s">
        <v>86</v>
      </c>
      <c r="C66" s="45">
        <v>11.136429</v>
      </c>
      <c r="D66" s="1" t="s">
        <v>98</v>
      </c>
    </row>
    <row r="67" spans="1:4" x14ac:dyDescent="0.25">
      <c r="A67" s="2" t="s">
        <v>102</v>
      </c>
      <c r="B67" s="2" t="s">
        <v>142</v>
      </c>
      <c r="C67" s="45">
        <v>22.524731999999997</v>
      </c>
      <c r="D67" s="1" t="s">
        <v>98</v>
      </c>
    </row>
    <row r="68" spans="1:4" x14ac:dyDescent="0.25">
      <c r="A68" s="2" t="s">
        <v>87</v>
      </c>
      <c r="B68" s="2" t="s">
        <v>86</v>
      </c>
      <c r="C68" s="45">
        <v>38.140919999999994</v>
      </c>
      <c r="D68" s="1" t="s">
        <v>98</v>
      </c>
    </row>
    <row r="69" spans="1:4" x14ac:dyDescent="0.25">
      <c r="A69" s="2" t="s">
        <v>88</v>
      </c>
      <c r="B69" s="2" t="s">
        <v>36</v>
      </c>
      <c r="C69" s="45">
        <v>21.589199999999998</v>
      </c>
      <c r="D69" s="1" t="s">
        <v>98</v>
      </c>
    </row>
    <row r="70" spans="1:4" x14ac:dyDescent="0.25">
      <c r="A70" s="2" t="s">
        <v>89</v>
      </c>
      <c r="B70" s="2" t="s">
        <v>34</v>
      </c>
      <c r="C70" s="45">
        <v>21.589199999999998</v>
      </c>
      <c r="D70" s="1" t="s">
        <v>98</v>
      </c>
    </row>
    <row r="71" spans="1:4" x14ac:dyDescent="0.25">
      <c r="A71" s="2" t="s">
        <v>154</v>
      </c>
      <c r="B71" s="2" t="s">
        <v>155</v>
      </c>
      <c r="C71" s="45">
        <v>24.215886000000001</v>
      </c>
      <c r="D71" s="1" t="s">
        <v>98</v>
      </c>
    </row>
    <row r="72" spans="1:4" x14ac:dyDescent="0.25">
      <c r="A72" s="2" t="s">
        <v>156</v>
      </c>
      <c r="B72" s="2" t="s">
        <v>49</v>
      </c>
      <c r="C72" s="45">
        <v>23.784102000000001</v>
      </c>
      <c r="D72" s="1" t="s">
        <v>98</v>
      </c>
    </row>
    <row r="73" spans="1:4" x14ac:dyDescent="0.25">
      <c r="A73" s="2" t="s">
        <v>157</v>
      </c>
      <c r="B73" s="2" t="s">
        <v>46</v>
      </c>
      <c r="C73" s="45">
        <v>30.476754</v>
      </c>
      <c r="D73" s="1" t="s">
        <v>98</v>
      </c>
    </row>
    <row r="74" spans="1:4" x14ac:dyDescent="0.25">
      <c r="A74" s="2" t="s">
        <v>158</v>
      </c>
      <c r="B74" s="2" t="s">
        <v>49</v>
      </c>
      <c r="C74" s="45">
        <v>8.0779589999999999</v>
      </c>
      <c r="D74" s="1" t="s">
        <v>98</v>
      </c>
    </row>
    <row r="75" spans="1:4" x14ac:dyDescent="0.25">
      <c r="A75" s="2" t="s">
        <v>159</v>
      </c>
      <c r="B75" s="2" t="s">
        <v>46</v>
      </c>
      <c r="C75" s="45">
        <v>15.688152000000001</v>
      </c>
      <c r="D75" s="1" t="s">
        <v>98</v>
      </c>
    </row>
    <row r="76" spans="1:4" x14ac:dyDescent="0.25">
      <c r="A76" s="2" t="s">
        <v>160</v>
      </c>
      <c r="B76" s="2" t="s">
        <v>49</v>
      </c>
      <c r="C76" s="45">
        <v>10.146923999999999</v>
      </c>
      <c r="D76" s="1" t="s">
        <v>98</v>
      </c>
    </row>
    <row r="77" spans="1:4" x14ac:dyDescent="0.25">
      <c r="A77" s="2" t="s">
        <v>90</v>
      </c>
      <c r="B77" s="2" t="s">
        <v>46</v>
      </c>
      <c r="C77" s="45">
        <v>32.113934999999998</v>
      </c>
      <c r="D77" s="1" t="s">
        <v>98</v>
      </c>
    </row>
    <row r="78" spans="1:4" x14ac:dyDescent="0.25">
      <c r="A78" s="2" t="s">
        <v>99</v>
      </c>
      <c r="B78" s="2" t="s">
        <v>49</v>
      </c>
      <c r="C78" s="45">
        <v>8.0779589999999999</v>
      </c>
      <c r="D78" s="1" t="s">
        <v>98</v>
      </c>
    </row>
    <row r="79" spans="1:4" x14ac:dyDescent="0.25">
      <c r="A79" s="2" t="s">
        <v>114</v>
      </c>
      <c r="B79" s="2" t="s">
        <v>30</v>
      </c>
      <c r="C79" s="45">
        <v>105.805071</v>
      </c>
      <c r="D79" s="1" t="s">
        <v>98</v>
      </c>
    </row>
    <row r="80" spans="1:4" x14ac:dyDescent="0.25">
      <c r="A80" s="2" t="s">
        <v>91</v>
      </c>
      <c r="B80" s="2" t="s">
        <v>47</v>
      </c>
      <c r="C80" s="45">
        <v>42.296841000000001</v>
      </c>
      <c r="D80" s="1" t="s">
        <v>98</v>
      </c>
    </row>
    <row r="81" spans="1:4" x14ac:dyDescent="0.25">
      <c r="A81" s="2" t="s">
        <v>92</v>
      </c>
      <c r="B81" s="2" t="s">
        <v>93</v>
      </c>
      <c r="C81" s="45">
        <v>40.749614999999999</v>
      </c>
      <c r="D81" s="1" t="s">
        <v>98</v>
      </c>
    </row>
    <row r="82" spans="1:4" x14ac:dyDescent="0.25">
      <c r="A82" s="2" t="s">
        <v>161</v>
      </c>
      <c r="B82" s="2" t="s">
        <v>86</v>
      </c>
      <c r="C82" s="45">
        <v>21.211388999999997</v>
      </c>
      <c r="D82" s="1" t="s">
        <v>98</v>
      </c>
    </row>
    <row r="83" spans="1:4" x14ac:dyDescent="0.25">
      <c r="A83" s="2" t="s">
        <v>162</v>
      </c>
      <c r="B83" s="2" t="s">
        <v>81</v>
      </c>
      <c r="C83" s="45">
        <v>13.511240999999998</v>
      </c>
      <c r="D83" s="1" t="s">
        <v>98</v>
      </c>
    </row>
    <row r="84" spans="1:4" x14ac:dyDescent="0.25">
      <c r="A84" s="2" t="s">
        <v>94</v>
      </c>
      <c r="B84" s="2" t="s">
        <v>81</v>
      </c>
      <c r="C84" s="45">
        <v>40.533723000000002</v>
      </c>
      <c r="D84" s="1" t="s">
        <v>98</v>
      </c>
    </row>
    <row r="85" spans="1:4" x14ac:dyDescent="0.25">
      <c r="A85" s="2" t="s">
        <v>95</v>
      </c>
      <c r="B85" s="2" t="s">
        <v>96</v>
      </c>
      <c r="C85" s="45">
        <v>51.472251</v>
      </c>
      <c r="D85" s="1" t="s">
        <v>98</v>
      </c>
    </row>
    <row r="86" spans="1:4" x14ac:dyDescent="0.25">
      <c r="A86" s="2" t="s">
        <v>163</v>
      </c>
      <c r="B86" s="2" t="s">
        <v>86</v>
      </c>
      <c r="C86" s="45">
        <v>8.9954999999999998</v>
      </c>
      <c r="D86" s="1" t="s">
        <v>98</v>
      </c>
    </row>
    <row r="87" spans="1:4" x14ac:dyDescent="0.25">
      <c r="A87" s="2" t="s">
        <v>164</v>
      </c>
      <c r="B87" s="2" t="s">
        <v>65</v>
      </c>
      <c r="C87" s="45">
        <v>1.763118</v>
      </c>
      <c r="D87" s="1" t="s">
        <v>98</v>
      </c>
    </row>
    <row r="88" spans="1:4" x14ac:dyDescent="0.25">
      <c r="A88" s="2" t="s">
        <v>97</v>
      </c>
      <c r="B88" s="2" t="s">
        <v>86</v>
      </c>
      <c r="C88" s="45">
        <v>42.62</v>
      </c>
      <c r="D88" s="1" t="s">
        <v>98</v>
      </c>
    </row>
    <row r="89" spans="1:4" x14ac:dyDescent="0.25">
      <c r="A89" s="2" t="s">
        <v>15</v>
      </c>
      <c r="B89" s="2" t="s">
        <v>16</v>
      </c>
      <c r="C89" s="45">
        <v>7.1302325581395358</v>
      </c>
      <c r="D89" s="2" t="s">
        <v>0</v>
      </c>
    </row>
    <row r="90" spans="1:4" x14ac:dyDescent="0.25">
      <c r="A90" s="2" t="s">
        <v>17</v>
      </c>
      <c r="B90" s="2" t="s">
        <v>18</v>
      </c>
      <c r="C90" s="45">
        <v>2.8069767441860467</v>
      </c>
      <c r="D90" s="2" t="s">
        <v>0</v>
      </c>
    </row>
    <row r="91" spans="1:4" x14ac:dyDescent="0.25">
      <c r="A91" s="2" t="s">
        <v>19</v>
      </c>
      <c r="B91" s="2" t="s">
        <v>20</v>
      </c>
      <c r="C91" s="45">
        <v>2.6911627906976743</v>
      </c>
      <c r="D91" s="2" t="s">
        <v>0</v>
      </c>
    </row>
    <row r="92" spans="1:4" x14ac:dyDescent="0.25">
      <c r="A92" s="2" t="s">
        <v>21</v>
      </c>
      <c r="B92" s="2" t="s">
        <v>22</v>
      </c>
      <c r="C92" s="45">
        <v>2.9767441860465116</v>
      </c>
      <c r="D92" s="2" t="s">
        <v>0</v>
      </c>
    </row>
    <row r="93" spans="1:4" x14ac:dyDescent="0.25">
      <c r="A93" s="2" t="s">
        <v>23</v>
      </c>
      <c r="B93" s="2" t="s">
        <v>24</v>
      </c>
      <c r="C93" s="45">
        <v>3.6976744186046511</v>
      </c>
      <c r="D93" s="2" t="s">
        <v>0</v>
      </c>
    </row>
    <row r="94" spans="1:4" x14ac:dyDescent="0.25">
      <c r="A94" s="2" t="s">
        <v>25</v>
      </c>
      <c r="B94" s="2" t="s">
        <v>18</v>
      </c>
      <c r="C94" s="45">
        <v>11.255813953488373</v>
      </c>
      <c r="D94" s="2" t="s">
        <v>0</v>
      </c>
    </row>
    <row r="95" spans="1:4" x14ac:dyDescent="0.25">
      <c r="A95" s="2" t="s">
        <v>26</v>
      </c>
      <c r="B95" s="2" t="s">
        <v>27</v>
      </c>
      <c r="C95" s="45">
        <v>2.9767441860465116</v>
      </c>
      <c r="D95" s="2" t="s">
        <v>0</v>
      </c>
    </row>
    <row r="96" spans="1:4" x14ac:dyDescent="0.25">
      <c r="A96" s="2" t="s">
        <v>104</v>
      </c>
      <c r="B96" s="2" t="s">
        <v>27</v>
      </c>
      <c r="C96" s="45">
        <v>4.7906976744186043</v>
      </c>
      <c r="D96" s="2" t="s">
        <v>0</v>
      </c>
    </row>
    <row r="97" spans="1:4" x14ac:dyDescent="0.25">
      <c r="A97" s="2" t="s">
        <v>28</v>
      </c>
      <c r="B97" s="2" t="s">
        <v>16</v>
      </c>
      <c r="C97" s="45">
        <v>3.2558139534883721</v>
      </c>
      <c r="D97" s="2" t="s">
        <v>0</v>
      </c>
    </row>
    <row r="98" spans="1:4" x14ac:dyDescent="0.25">
      <c r="A98" s="2" t="s">
        <v>29</v>
      </c>
      <c r="B98" s="2" t="s">
        <v>24</v>
      </c>
      <c r="C98" s="45">
        <v>3.2558139534883721</v>
      </c>
      <c r="D98" s="2" t="s">
        <v>0</v>
      </c>
    </row>
    <row r="99" spans="1:4" x14ac:dyDescent="0.25">
      <c r="A99" s="2" t="s">
        <v>1</v>
      </c>
      <c r="B99" s="2" t="s">
        <v>2</v>
      </c>
      <c r="C99" s="45">
        <v>58.139534883720927</v>
      </c>
      <c r="D99" s="18" t="s">
        <v>238</v>
      </c>
    </row>
    <row r="100" spans="1:4" x14ac:dyDescent="0.25">
      <c r="A100" s="2" t="s">
        <v>3</v>
      </c>
      <c r="B100" s="2" t="s">
        <v>4</v>
      </c>
      <c r="C100" s="45">
        <v>93.023255813953483</v>
      </c>
      <c r="D100" s="18" t="s">
        <v>238</v>
      </c>
    </row>
    <row r="101" spans="1:4" x14ac:dyDescent="0.25">
      <c r="A101" s="2" t="s">
        <v>5</v>
      </c>
      <c r="B101" s="2" t="s">
        <v>6</v>
      </c>
      <c r="C101" s="45">
        <v>139.53488372093022</v>
      </c>
      <c r="D101" s="18" t="s">
        <v>238</v>
      </c>
    </row>
    <row r="102" spans="1:4" x14ac:dyDescent="0.25">
      <c r="A102" s="2" t="s">
        <v>7</v>
      </c>
      <c r="B102" s="2" t="s">
        <v>8</v>
      </c>
      <c r="C102" s="45">
        <v>209.30232558139534</v>
      </c>
      <c r="D102" s="18" t="s">
        <v>238</v>
      </c>
    </row>
    <row r="103" spans="1:4" x14ac:dyDescent="0.25">
      <c r="A103" s="2" t="s">
        <v>9</v>
      </c>
      <c r="B103" s="2" t="s">
        <v>10</v>
      </c>
      <c r="C103" s="45">
        <v>58.139534883720927</v>
      </c>
      <c r="D103" s="18" t="s">
        <v>238</v>
      </c>
    </row>
    <row r="104" spans="1:4" x14ac:dyDescent="0.25">
      <c r="A104" s="2" t="s">
        <v>11</v>
      </c>
      <c r="B104" s="2" t="s">
        <v>12</v>
      </c>
      <c r="C104" s="45">
        <v>69.767441860465112</v>
      </c>
      <c r="D104" s="18" t="s">
        <v>238</v>
      </c>
    </row>
    <row r="105" spans="1:4" x14ac:dyDescent="0.25">
      <c r="A105" s="2" t="s">
        <v>13</v>
      </c>
      <c r="B105" s="2" t="s">
        <v>14</v>
      </c>
      <c r="C105" s="45">
        <v>104.65116279069767</v>
      </c>
      <c r="D105" s="18" t="s">
        <v>238</v>
      </c>
    </row>
  </sheetData>
  <autoFilter ref="A1:D105"/>
  <pageMargins left="0.75" right="0.75" top="1" bottom="1" header="0.5" footer="0.5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/>
  <dimension ref="A1:T45"/>
  <sheetViews>
    <sheetView workbookViewId="0">
      <selection activeCell="A13" sqref="A13"/>
    </sheetView>
  </sheetViews>
  <sheetFormatPr defaultRowHeight="15" x14ac:dyDescent="0.25"/>
  <cols>
    <col min="1" max="1" width="15" bestFit="1" customWidth="1"/>
    <col min="2" max="2" width="19.28515625" customWidth="1"/>
    <col min="3" max="3" width="17.28515625" bestFit="1" customWidth="1"/>
    <col min="4" max="4" width="16.28515625" bestFit="1" customWidth="1"/>
    <col min="5" max="6" width="16.28515625" customWidth="1"/>
    <col min="7" max="7" width="12.28515625" customWidth="1"/>
    <col min="8" max="8" width="19" customWidth="1"/>
    <col min="9" max="9" width="12.7109375" customWidth="1"/>
  </cols>
  <sheetData>
    <row r="1" spans="1:3" x14ac:dyDescent="0.25">
      <c r="A1" t="s">
        <v>443</v>
      </c>
      <c r="B1" s="26" t="s">
        <v>449</v>
      </c>
      <c r="C1" s="26" t="s">
        <v>450</v>
      </c>
    </row>
    <row r="2" spans="1:3" x14ac:dyDescent="0.25">
      <c r="A2" t="s">
        <v>396</v>
      </c>
      <c r="B2" s="51">
        <f>N22*2+Q22*2</f>
        <v>520</v>
      </c>
      <c r="C2" s="51"/>
    </row>
    <row r="3" spans="1:3" x14ac:dyDescent="0.25">
      <c r="A3" t="s">
        <v>108</v>
      </c>
      <c r="B3" s="51">
        <f>N25*2+Q25*2</f>
        <v>520</v>
      </c>
      <c r="C3" s="51"/>
    </row>
    <row r="4" spans="1:3" x14ac:dyDescent="0.25">
      <c r="A4" t="s">
        <v>173</v>
      </c>
      <c r="B4" s="51">
        <f>N26*2+Q26*2</f>
        <v>520</v>
      </c>
      <c r="C4" s="51"/>
    </row>
    <row r="5" spans="1:3" x14ac:dyDescent="0.25">
      <c r="A5" t="s">
        <v>109</v>
      </c>
      <c r="B5" s="51">
        <f>N27*2+Q27*2</f>
        <v>550</v>
      </c>
      <c r="C5" s="51"/>
    </row>
    <row r="6" spans="1:3" x14ac:dyDescent="0.25">
      <c r="A6" t="s">
        <v>110</v>
      </c>
      <c r="B6" s="51">
        <f>N28*2+Q28*2</f>
        <v>600</v>
      </c>
      <c r="C6" s="51"/>
    </row>
    <row r="7" spans="1:3" x14ac:dyDescent="0.25">
      <c r="A7" t="s">
        <v>111</v>
      </c>
      <c r="B7" s="51">
        <f>N30*2+Q30*2</f>
        <v>2400</v>
      </c>
      <c r="C7" s="51"/>
    </row>
    <row r="8" spans="1:3" x14ac:dyDescent="0.25">
      <c r="A8" t="s">
        <v>112</v>
      </c>
      <c r="B8" s="51">
        <f>N31*2+Q31*2</f>
        <v>2600</v>
      </c>
      <c r="C8" s="51"/>
    </row>
    <row r="9" spans="1:3" x14ac:dyDescent="0.25">
      <c r="A9" s="1" t="s">
        <v>187</v>
      </c>
      <c r="B9" s="51">
        <f>N32*2+Q32*1</f>
        <v>220</v>
      </c>
      <c r="C9" s="49">
        <f>O32*2+R32*1</f>
        <v>258</v>
      </c>
    </row>
    <row r="10" spans="1:3" x14ac:dyDescent="0.25">
      <c r="A10" s="1" t="s">
        <v>188</v>
      </c>
      <c r="B10" s="51">
        <f>Q33*2+N33</f>
        <v>285</v>
      </c>
      <c r="C10" s="49">
        <f>O33*2+R33*2</f>
        <v>500</v>
      </c>
    </row>
    <row r="11" spans="1:3" x14ac:dyDescent="0.25">
      <c r="A11" s="1" t="s">
        <v>190</v>
      </c>
      <c r="B11" s="51">
        <f>N35*2+Q35*2</f>
        <v>410</v>
      </c>
      <c r="C11" s="49">
        <f>O35*2+R35*2</f>
        <v>500</v>
      </c>
    </row>
    <row r="12" spans="1:3" x14ac:dyDescent="0.25">
      <c r="A12" s="1" t="s">
        <v>192</v>
      </c>
      <c r="B12" s="51">
        <f>N37*2+Q37*2</f>
        <v>560</v>
      </c>
      <c r="C12" s="49">
        <f>N37*2+R37*2</f>
        <v>620</v>
      </c>
    </row>
    <row r="13" spans="1:3" x14ac:dyDescent="0.25">
      <c r="A13" s="1" t="s">
        <v>194</v>
      </c>
      <c r="B13" s="51">
        <f>N39*2+Q39*2</f>
        <v>560</v>
      </c>
      <c r="C13" s="49">
        <f>O41*2+R41*2</f>
        <v>680</v>
      </c>
    </row>
    <row r="14" spans="1:3" x14ac:dyDescent="0.25">
      <c r="A14" s="1" t="s">
        <v>196</v>
      </c>
      <c r="B14" s="51">
        <f>N41*2+Q41*2</f>
        <v>560</v>
      </c>
      <c r="C14" s="49">
        <f>O41*2+R41*2</f>
        <v>680</v>
      </c>
    </row>
    <row r="15" spans="1:3" ht="15" customHeight="1" x14ac:dyDescent="0.25">
      <c r="A15" s="1" t="s">
        <v>197</v>
      </c>
      <c r="B15" s="51">
        <f>N42*2+Q42*2</f>
        <v>1240</v>
      </c>
      <c r="C15" s="49">
        <f>O42*2+R42*2</f>
        <v>1420</v>
      </c>
    </row>
    <row r="16" spans="1:3" x14ac:dyDescent="0.25">
      <c r="A16" s="1" t="s">
        <v>427</v>
      </c>
      <c r="B16" s="51">
        <f>N44*2+Q44*2</f>
        <v>500</v>
      </c>
      <c r="C16" s="49">
        <f>O44*2+R44*2</f>
        <v>880</v>
      </c>
    </row>
    <row r="19" spans="12:20" ht="16.5" customHeight="1" x14ac:dyDescent="0.25">
      <c r="M19" s="57" t="s">
        <v>226</v>
      </c>
      <c r="N19" s="58"/>
      <c r="O19" s="59"/>
      <c r="P19" s="57" t="s">
        <v>227</v>
      </c>
      <c r="Q19" s="58"/>
      <c r="R19" s="59"/>
      <c r="S19" s="57" t="s">
        <v>228</v>
      </c>
      <c r="T19" s="59"/>
    </row>
    <row r="20" spans="12:20" ht="16.5" customHeight="1" x14ac:dyDescent="0.25">
      <c r="L20" t="s">
        <v>222</v>
      </c>
      <c r="M20" t="s">
        <v>223</v>
      </c>
      <c r="N20" t="s">
        <v>224</v>
      </c>
      <c r="O20" t="s">
        <v>225</v>
      </c>
      <c r="P20" t="s">
        <v>229</v>
      </c>
      <c r="Q20" t="s">
        <v>224</v>
      </c>
      <c r="R20" t="s">
        <v>230</v>
      </c>
      <c r="S20" t="s">
        <v>231</v>
      </c>
      <c r="T20" s="2" t="s">
        <v>219</v>
      </c>
    </row>
    <row r="21" spans="12:20" ht="16.5" customHeight="1" x14ac:dyDescent="0.25">
      <c r="L21" t="s">
        <v>170</v>
      </c>
      <c r="M21" s="24" t="s">
        <v>181</v>
      </c>
      <c r="N21" s="32">
        <v>125</v>
      </c>
      <c r="O21" s="32"/>
      <c r="P21" s="2" t="s">
        <v>183</v>
      </c>
      <c r="Q21" s="32">
        <v>110</v>
      </c>
      <c r="R21" s="32"/>
      <c r="S21" s="2" t="s">
        <v>176</v>
      </c>
      <c r="T21" s="33">
        <v>110</v>
      </c>
    </row>
    <row r="22" spans="12:20" ht="16.5" customHeight="1" x14ac:dyDescent="0.25">
      <c r="L22" t="s">
        <v>169</v>
      </c>
      <c r="M22" s="24" t="s">
        <v>182</v>
      </c>
      <c r="N22" s="32">
        <v>150</v>
      </c>
      <c r="O22" s="32"/>
      <c r="P22" s="24" t="s">
        <v>184</v>
      </c>
      <c r="Q22" s="32">
        <v>110</v>
      </c>
      <c r="R22" s="32"/>
      <c r="S22" s="24" t="s">
        <v>176</v>
      </c>
      <c r="T22" s="33">
        <v>11</v>
      </c>
    </row>
    <row r="23" spans="12:20" ht="16.5" customHeight="1" x14ac:dyDescent="0.25">
      <c r="L23" t="s">
        <v>171</v>
      </c>
      <c r="M23" s="24" t="s">
        <v>182</v>
      </c>
      <c r="N23" s="32">
        <v>150</v>
      </c>
      <c r="O23" s="32"/>
      <c r="P23" s="24" t="s">
        <v>183</v>
      </c>
      <c r="Q23" s="32">
        <v>110</v>
      </c>
      <c r="R23" s="32"/>
      <c r="S23" s="24" t="s">
        <v>176</v>
      </c>
      <c r="T23" s="33">
        <v>110</v>
      </c>
    </row>
    <row r="24" spans="12:20" ht="16.5" customHeight="1" x14ac:dyDescent="0.25">
      <c r="L24" t="s">
        <v>172</v>
      </c>
      <c r="M24" s="24" t="s">
        <v>181</v>
      </c>
      <c r="N24" s="32">
        <v>125</v>
      </c>
      <c r="O24" s="32"/>
      <c r="P24" s="2" t="s">
        <v>183</v>
      </c>
      <c r="Q24" s="32">
        <v>110</v>
      </c>
      <c r="R24" s="32"/>
      <c r="S24" s="2" t="s">
        <v>176</v>
      </c>
      <c r="T24" s="33">
        <v>110</v>
      </c>
    </row>
    <row r="25" spans="12:20" ht="16.5" customHeight="1" x14ac:dyDescent="0.25">
      <c r="L25" t="s">
        <v>108</v>
      </c>
      <c r="M25" s="24" t="s">
        <v>182</v>
      </c>
      <c r="N25" s="32">
        <v>150</v>
      </c>
      <c r="O25" s="32"/>
      <c r="P25" s="24" t="s">
        <v>184</v>
      </c>
      <c r="Q25" s="32">
        <v>110</v>
      </c>
      <c r="R25" s="32"/>
      <c r="S25" s="24" t="s">
        <v>176</v>
      </c>
      <c r="T25" s="33">
        <v>110</v>
      </c>
    </row>
    <row r="26" spans="12:20" ht="16.5" customHeight="1" x14ac:dyDescent="0.25">
      <c r="L26" t="s">
        <v>173</v>
      </c>
      <c r="M26" s="24" t="s">
        <v>182</v>
      </c>
      <c r="N26" s="32">
        <v>150</v>
      </c>
      <c r="O26" s="32"/>
      <c r="P26" s="24" t="s">
        <v>183</v>
      </c>
      <c r="Q26" s="32">
        <v>110</v>
      </c>
      <c r="R26" s="32"/>
      <c r="S26" s="24" t="s">
        <v>176</v>
      </c>
      <c r="T26" s="33">
        <v>110</v>
      </c>
    </row>
    <row r="27" spans="12:20" ht="16.5" customHeight="1" x14ac:dyDescent="0.25">
      <c r="L27" t="s">
        <v>109</v>
      </c>
      <c r="M27" t="s">
        <v>178</v>
      </c>
      <c r="N27" s="32">
        <v>150</v>
      </c>
      <c r="O27" s="32"/>
      <c r="P27" t="s">
        <v>185</v>
      </c>
      <c r="Q27" s="32">
        <v>125</v>
      </c>
      <c r="R27" s="32"/>
      <c r="S27" t="s">
        <v>177</v>
      </c>
      <c r="T27" s="33">
        <v>200</v>
      </c>
    </row>
    <row r="28" spans="12:20" ht="16.5" customHeight="1" x14ac:dyDescent="0.25">
      <c r="L28" t="s">
        <v>110</v>
      </c>
      <c r="M28" t="s">
        <v>178</v>
      </c>
      <c r="N28" s="32">
        <v>150</v>
      </c>
      <c r="O28" s="32"/>
      <c r="P28" t="s">
        <v>178</v>
      </c>
      <c r="Q28" s="32">
        <v>150</v>
      </c>
      <c r="R28" s="32"/>
      <c r="S28" s="24" t="s">
        <v>175</v>
      </c>
    </row>
    <row r="29" spans="12:20" ht="16.5" customHeight="1" x14ac:dyDescent="0.25">
      <c r="L29" t="s">
        <v>174</v>
      </c>
      <c r="M29" t="s">
        <v>178</v>
      </c>
      <c r="N29" s="32">
        <v>150</v>
      </c>
      <c r="O29" s="32"/>
      <c r="P29" t="s">
        <v>178</v>
      </c>
      <c r="Q29" s="32">
        <v>150</v>
      </c>
      <c r="R29" s="32"/>
      <c r="S29" s="24" t="s">
        <v>175</v>
      </c>
    </row>
    <row r="30" spans="12:20" ht="16.5" customHeight="1" x14ac:dyDescent="0.25">
      <c r="L30" t="s">
        <v>111</v>
      </c>
      <c r="M30" t="s">
        <v>179</v>
      </c>
      <c r="N30" s="32">
        <v>600</v>
      </c>
      <c r="O30" s="32"/>
      <c r="P30" t="s">
        <v>179</v>
      </c>
      <c r="Q30" s="32">
        <v>600</v>
      </c>
      <c r="R30" s="32"/>
      <c r="S30" s="24" t="s">
        <v>175</v>
      </c>
    </row>
    <row r="31" spans="12:20" ht="16.5" customHeight="1" x14ac:dyDescent="0.25">
      <c r="L31" t="s">
        <v>112</v>
      </c>
      <c r="M31" t="s">
        <v>180</v>
      </c>
      <c r="N31" s="32">
        <v>650</v>
      </c>
      <c r="O31" s="32"/>
      <c r="P31" t="s">
        <v>180</v>
      </c>
      <c r="Q31" s="32">
        <v>650</v>
      </c>
      <c r="R31" s="32"/>
      <c r="S31" s="24" t="s">
        <v>175</v>
      </c>
    </row>
    <row r="32" spans="12:20" ht="16.5" customHeight="1" x14ac:dyDescent="0.25">
      <c r="L32" s="1" t="s">
        <v>187</v>
      </c>
      <c r="M32" t="s">
        <v>203</v>
      </c>
      <c r="N32" s="33">
        <v>70</v>
      </c>
      <c r="O32" s="33">
        <v>86</v>
      </c>
      <c r="P32" t="s">
        <v>202</v>
      </c>
      <c r="Q32" s="33">
        <v>80</v>
      </c>
      <c r="R32" s="33">
        <v>86</v>
      </c>
    </row>
    <row r="33" spans="12:19" ht="16.5" customHeight="1" x14ac:dyDescent="0.25">
      <c r="L33" s="1" t="s">
        <v>188</v>
      </c>
      <c r="M33" t="s">
        <v>204</v>
      </c>
      <c r="N33" s="33">
        <v>125</v>
      </c>
      <c r="O33" s="33">
        <v>150</v>
      </c>
      <c r="P33" t="s">
        <v>205</v>
      </c>
      <c r="Q33" s="33">
        <v>80</v>
      </c>
      <c r="R33" s="33">
        <v>100</v>
      </c>
    </row>
    <row r="34" spans="12:19" ht="16.5" customHeight="1" x14ac:dyDescent="0.25">
      <c r="L34" s="1" t="s">
        <v>189</v>
      </c>
      <c r="M34" t="s">
        <v>203</v>
      </c>
      <c r="N34" s="33">
        <v>80</v>
      </c>
      <c r="O34" s="33">
        <v>110</v>
      </c>
      <c r="P34" t="s">
        <v>205</v>
      </c>
      <c r="Q34" s="33">
        <v>80</v>
      </c>
      <c r="R34" s="33">
        <v>100</v>
      </c>
    </row>
    <row r="35" spans="12:19" ht="16.5" customHeight="1" x14ac:dyDescent="0.25">
      <c r="L35" s="1" t="s">
        <v>190</v>
      </c>
      <c r="M35" t="s">
        <v>206</v>
      </c>
      <c r="N35" s="33">
        <v>125</v>
      </c>
      <c r="O35" s="33">
        <v>150</v>
      </c>
      <c r="P35" t="s">
        <v>207</v>
      </c>
      <c r="Q35" s="33">
        <v>80</v>
      </c>
      <c r="R35" s="33">
        <v>100</v>
      </c>
    </row>
    <row r="36" spans="12:19" ht="16.5" customHeight="1" x14ac:dyDescent="0.25">
      <c r="L36" s="1" t="s">
        <v>191</v>
      </c>
      <c r="M36" t="s">
        <v>206</v>
      </c>
      <c r="N36" s="33">
        <v>125</v>
      </c>
      <c r="O36" s="33">
        <v>150</v>
      </c>
      <c r="P36" t="s">
        <v>205</v>
      </c>
      <c r="Q36" s="33">
        <v>80</v>
      </c>
      <c r="R36" s="33">
        <v>100</v>
      </c>
    </row>
    <row r="37" spans="12:19" ht="16.5" customHeight="1" x14ac:dyDescent="0.25">
      <c r="L37" s="1" t="s">
        <v>192</v>
      </c>
      <c r="M37" t="s">
        <v>208</v>
      </c>
      <c r="N37" s="33">
        <v>200</v>
      </c>
      <c r="O37" s="33">
        <v>230</v>
      </c>
      <c r="P37" t="s">
        <v>209</v>
      </c>
      <c r="Q37" s="33">
        <v>80</v>
      </c>
      <c r="R37" s="33">
        <v>110</v>
      </c>
    </row>
    <row r="38" spans="12:19" ht="16.5" customHeight="1" x14ac:dyDescent="0.25">
      <c r="L38" s="1" t="s">
        <v>193</v>
      </c>
      <c r="M38" t="s">
        <v>211</v>
      </c>
      <c r="N38" s="33">
        <v>200</v>
      </c>
      <c r="O38" s="33">
        <v>230</v>
      </c>
      <c r="P38" t="s">
        <v>212</v>
      </c>
      <c r="Q38" s="33">
        <v>80</v>
      </c>
      <c r="R38" s="33">
        <v>110</v>
      </c>
    </row>
    <row r="39" spans="12:19" ht="16.5" customHeight="1" x14ac:dyDescent="0.25">
      <c r="L39" s="1" t="s">
        <v>194</v>
      </c>
      <c r="M39" t="s">
        <v>213</v>
      </c>
      <c r="N39" s="33">
        <v>200</v>
      </c>
      <c r="O39" s="33">
        <v>230</v>
      </c>
      <c r="P39" t="s">
        <v>212</v>
      </c>
      <c r="Q39" s="33">
        <v>80</v>
      </c>
      <c r="R39" s="33">
        <v>110</v>
      </c>
    </row>
    <row r="40" spans="12:19" ht="16.5" customHeight="1" x14ac:dyDescent="0.25">
      <c r="L40" s="1" t="s">
        <v>195</v>
      </c>
      <c r="M40" t="s">
        <v>214</v>
      </c>
      <c r="N40" s="33">
        <v>225</v>
      </c>
      <c r="O40" s="33">
        <v>260</v>
      </c>
      <c r="P40" t="s">
        <v>212</v>
      </c>
      <c r="Q40" s="33">
        <v>80</v>
      </c>
      <c r="R40" s="33">
        <v>110</v>
      </c>
    </row>
    <row r="41" spans="12:19" ht="16.5" customHeight="1" x14ac:dyDescent="0.25">
      <c r="L41" s="1" t="s">
        <v>196</v>
      </c>
      <c r="M41" t="s">
        <v>208</v>
      </c>
      <c r="N41" s="33">
        <v>200</v>
      </c>
      <c r="O41" s="33">
        <v>230</v>
      </c>
      <c r="P41" t="s">
        <v>210</v>
      </c>
      <c r="Q41" s="33">
        <v>80</v>
      </c>
      <c r="R41" s="33">
        <v>110</v>
      </c>
    </row>
    <row r="42" spans="12:19" ht="16.5" customHeight="1" x14ac:dyDescent="0.25">
      <c r="L42" s="1" t="s">
        <v>197</v>
      </c>
      <c r="M42" t="s">
        <v>216</v>
      </c>
      <c r="N42" s="33">
        <v>420</v>
      </c>
      <c r="O42" s="33">
        <v>480</v>
      </c>
      <c r="P42" t="s">
        <v>208</v>
      </c>
      <c r="Q42" s="33">
        <v>200</v>
      </c>
      <c r="R42" s="33">
        <v>230</v>
      </c>
      <c r="S42" t="s">
        <v>215</v>
      </c>
    </row>
    <row r="43" spans="12:19" ht="16.5" customHeight="1" x14ac:dyDescent="0.25">
      <c r="L43" s="1" t="s">
        <v>198</v>
      </c>
      <c r="M43" t="s">
        <v>217</v>
      </c>
      <c r="N43" s="33">
        <v>150</v>
      </c>
      <c r="O43" s="33">
        <v>330</v>
      </c>
      <c r="P43" t="s">
        <v>209</v>
      </c>
      <c r="Q43" s="33">
        <v>100</v>
      </c>
      <c r="R43" s="33">
        <v>110</v>
      </c>
    </row>
    <row r="44" spans="12:19" ht="16.5" customHeight="1" x14ac:dyDescent="0.25">
      <c r="L44" s="1" t="s">
        <v>427</v>
      </c>
      <c r="M44" t="s">
        <v>217</v>
      </c>
      <c r="N44" s="33">
        <v>150</v>
      </c>
      <c r="O44" s="33">
        <v>330</v>
      </c>
      <c r="P44" t="s">
        <v>209</v>
      </c>
      <c r="Q44" s="33">
        <v>100</v>
      </c>
      <c r="R44" s="33">
        <v>110</v>
      </c>
    </row>
    <row r="45" spans="12:19" x14ac:dyDescent="0.25">
      <c r="L45" s="1" t="s">
        <v>199</v>
      </c>
      <c r="M45" t="s">
        <v>217</v>
      </c>
      <c r="N45" s="33">
        <v>150</v>
      </c>
      <c r="O45" s="33">
        <v>330</v>
      </c>
      <c r="P45" t="s">
        <v>209</v>
      </c>
      <c r="Q45" s="33">
        <v>100</v>
      </c>
      <c r="R45" s="33">
        <v>110</v>
      </c>
    </row>
  </sheetData>
  <autoFilter ref="L20:T45"/>
  <mergeCells count="3">
    <mergeCell ref="M19:O19"/>
    <mergeCell ref="P19:R19"/>
    <mergeCell ref="S19:T19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0"/>
  <dimension ref="A1:F169"/>
  <sheetViews>
    <sheetView topLeftCell="A106" workbookViewId="0">
      <selection activeCell="D168" sqref="D168"/>
    </sheetView>
  </sheetViews>
  <sheetFormatPr defaultRowHeight="15" x14ac:dyDescent="0.25"/>
  <cols>
    <col min="1" max="1" width="9.85546875" bestFit="1" customWidth="1"/>
    <col min="2" max="2" width="20.42578125" bestFit="1" customWidth="1"/>
    <col min="3" max="3" width="20.140625" bestFit="1" customWidth="1"/>
    <col min="4" max="4" width="19.42578125" bestFit="1" customWidth="1"/>
    <col min="5" max="5" width="22" bestFit="1" customWidth="1"/>
    <col min="6" max="6" width="20" bestFit="1" customWidth="1"/>
  </cols>
  <sheetData>
    <row r="1" spans="1:6" x14ac:dyDescent="0.25">
      <c r="A1" s="1" t="s">
        <v>443</v>
      </c>
      <c r="B1" s="1" t="s">
        <v>451</v>
      </c>
      <c r="C1" s="1" t="s">
        <v>452</v>
      </c>
      <c r="D1" s="1" t="s">
        <v>453</v>
      </c>
      <c r="E1" s="1" t="s">
        <v>454</v>
      </c>
      <c r="F1" s="1" t="s">
        <v>455</v>
      </c>
    </row>
    <row r="2" spans="1:6" x14ac:dyDescent="0.25">
      <c r="A2" s="2" t="s">
        <v>396</v>
      </c>
      <c r="B2" s="54" t="s">
        <v>165</v>
      </c>
      <c r="C2" s="54">
        <v>1</v>
      </c>
      <c r="D2" s="54">
        <v>76</v>
      </c>
      <c r="E2" s="55">
        <v>72</v>
      </c>
      <c r="F2" s="55">
        <v>65</v>
      </c>
    </row>
    <row r="3" spans="1:6" x14ac:dyDescent="0.25">
      <c r="A3" s="2" t="s">
        <v>108</v>
      </c>
      <c r="B3" s="54" t="s">
        <v>165</v>
      </c>
      <c r="C3" s="54">
        <v>1</v>
      </c>
      <c r="D3" s="54">
        <v>76</v>
      </c>
      <c r="E3" s="55">
        <v>72</v>
      </c>
      <c r="F3" s="55">
        <v>65</v>
      </c>
    </row>
    <row r="4" spans="1:6" x14ac:dyDescent="0.25">
      <c r="A4" s="2" t="s">
        <v>109</v>
      </c>
      <c r="B4" s="54" t="s">
        <v>165</v>
      </c>
      <c r="C4" s="54">
        <v>1</v>
      </c>
      <c r="D4" s="54">
        <v>76</v>
      </c>
      <c r="E4" s="55">
        <v>72</v>
      </c>
      <c r="F4" s="55">
        <v>65</v>
      </c>
    </row>
    <row r="5" spans="1:6" x14ac:dyDescent="0.25">
      <c r="A5" s="2" t="s">
        <v>110</v>
      </c>
      <c r="B5" s="54" t="s">
        <v>165</v>
      </c>
      <c r="C5" s="54">
        <v>1</v>
      </c>
      <c r="D5" s="54">
        <v>76</v>
      </c>
      <c r="E5" s="55">
        <v>72</v>
      </c>
      <c r="F5" s="55">
        <v>65</v>
      </c>
    </row>
    <row r="6" spans="1:6" x14ac:dyDescent="0.25">
      <c r="A6" s="2" t="s">
        <v>111</v>
      </c>
      <c r="B6" s="54" t="s">
        <v>165</v>
      </c>
      <c r="C6" s="54">
        <v>1</v>
      </c>
      <c r="D6" s="54">
        <v>76</v>
      </c>
      <c r="E6" s="55">
        <v>72</v>
      </c>
      <c r="F6" s="55">
        <v>65</v>
      </c>
    </row>
    <row r="7" spans="1:6" x14ac:dyDescent="0.25">
      <c r="A7" s="2" t="s">
        <v>112</v>
      </c>
      <c r="B7" s="54" t="s">
        <v>165</v>
      </c>
      <c r="C7" s="54">
        <v>1</v>
      </c>
      <c r="D7" s="54">
        <v>76</v>
      </c>
      <c r="E7" s="55">
        <v>72</v>
      </c>
      <c r="F7" s="55">
        <v>65</v>
      </c>
    </row>
    <row r="8" spans="1:6" x14ac:dyDescent="0.25">
      <c r="A8" s="2" t="s">
        <v>396</v>
      </c>
      <c r="B8" s="54" t="s">
        <v>166</v>
      </c>
      <c r="C8" s="54">
        <v>1</v>
      </c>
      <c r="D8" s="54">
        <v>72</v>
      </c>
      <c r="E8" s="55">
        <v>68.399999999999991</v>
      </c>
      <c r="F8" s="55">
        <v>61.199999999999996</v>
      </c>
    </row>
    <row r="9" spans="1:6" x14ac:dyDescent="0.25">
      <c r="A9" s="2" t="s">
        <v>108</v>
      </c>
      <c r="B9" s="54" t="s">
        <v>166</v>
      </c>
      <c r="C9" s="54">
        <v>1</v>
      </c>
      <c r="D9" s="54">
        <v>72</v>
      </c>
      <c r="E9" s="55">
        <v>68.399999999999991</v>
      </c>
      <c r="F9" s="55">
        <v>61.199999999999996</v>
      </c>
    </row>
    <row r="10" spans="1:6" x14ac:dyDescent="0.25">
      <c r="A10" s="2" t="s">
        <v>109</v>
      </c>
      <c r="B10" s="54" t="s">
        <v>166</v>
      </c>
      <c r="C10" s="54">
        <v>1</v>
      </c>
      <c r="D10" s="54">
        <v>72</v>
      </c>
      <c r="E10" s="55">
        <v>68.399999999999991</v>
      </c>
      <c r="F10" s="55">
        <v>61.199999999999996</v>
      </c>
    </row>
    <row r="11" spans="1:6" x14ac:dyDescent="0.25">
      <c r="A11" s="2" t="s">
        <v>110</v>
      </c>
      <c r="B11" s="54" t="s">
        <v>166</v>
      </c>
      <c r="C11" s="54">
        <v>1</v>
      </c>
      <c r="D11" s="54">
        <v>72</v>
      </c>
      <c r="E11" s="55">
        <v>68.399999999999991</v>
      </c>
      <c r="F11" s="55">
        <v>61.199999999999996</v>
      </c>
    </row>
    <row r="12" spans="1:6" x14ac:dyDescent="0.25">
      <c r="A12" s="2" t="s">
        <v>111</v>
      </c>
      <c r="B12" s="54" t="s">
        <v>166</v>
      </c>
      <c r="C12" s="54">
        <v>1</v>
      </c>
      <c r="D12" s="54">
        <v>72</v>
      </c>
      <c r="E12" s="55">
        <v>68.399999999999991</v>
      </c>
      <c r="F12" s="55">
        <v>61.199999999999996</v>
      </c>
    </row>
    <row r="13" spans="1:6" x14ac:dyDescent="0.25">
      <c r="A13" s="2" t="s">
        <v>112</v>
      </c>
      <c r="B13" s="54" t="s">
        <v>166</v>
      </c>
      <c r="C13" s="54">
        <v>1</v>
      </c>
      <c r="D13" s="54">
        <v>72</v>
      </c>
      <c r="E13" s="55">
        <v>68.399999999999991</v>
      </c>
      <c r="F13" s="55">
        <v>61.199999999999996</v>
      </c>
    </row>
    <row r="14" spans="1:6" x14ac:dyDescent="0.25">
      <c r="A14" s="2" t="s">
        <v>396</v>
      </c>
      <c r="B14" s="54" t="s">
        <v>167</v>
      </c>
      <c r="C14" s="54">
        <v>1</v>
      </c>
      <c r="D14" s="55">
        <v>70</v>
      </c>
      <c r="E14" s="55">
        <v>70</v>
      </c>
      <c r="F14" s="55">
        <v>70</v>
      </c>
    </row>
    <row r="15" spans="1:6" x14ac:dyDescent="0.25">
      <c r="A15" s="2" t="s">
        <v>108</v>
      </c>
      <c r="B15" s="54" t="s">
        <v>167</v>
      </c>
      <c r="C15" s="54">
        <v>1</v>
      </c>
      <c r="D15" s="55">
        <v>70</v>
      </c>
      <c r="E15" s="55">
        <v>70</v>
      </c>
      <c r="F15" s="55">
        <v>70</v>
      </c>
    </row>
    <row r="16" spans="1:6" x14ac:dyDescent="0.25">
      <c r="A16" s="2" t="s">
        <v>109</v>
      </c>
      <c r="B16" s="54" t="s">
        <v>167</v>
      </c>
      <c r="C16" s="54">
        <v>1</v>
      </c>
      <c r="D16" s="55">
        <v>70</v>
      </c>
      <c r="E16" s="55">
        <v>70</v>
      </c>
      <c r="F16" s="55">
        <v>70</v>
      </c>
    </row>
    <row r="17" spans="1:6" x14ac:dyDescent="0.25">
      <c r="A17" s="2" t="s">
        <v>110</v>
      </c>
      <c r="B17" s="54" t="s">
        <v>167</v>
      </c>
      <c r="C17" s="54">
        <v>1</v>
      </c>
      <c r="D17" s="55">
        <v>70</v>
      </c>
      <c r="E17" s="55">
        <v>70</v>
      </c>
      <c r="F17" s="55">
        <v>70</v>
      </c>
    </row>
    <row r="18" spans="1:6" x14ac:dyDescent="0.25">
      <c r="A18" s="2" t="s">
        <v>111</v>
      </c>
      <c r="B18" s="54" t="s">
        <v>167</v>
      </c>
      <c r="C18" s="54">
        <v>1</v>
      </c>
      <c r="D18" s="55">
        <v>70</v>
      </c>
      <c r="E18" s="55">
        <v>70</v>
      </c>
      <c r="F18" s="55">
        <v>70</v>
      </c>
    </row>
    <row r="19" spans="1:6" x14ac:dyDescent="0.25">
      <c r="A19" s="2" t="s">
        <v>112</v>
      </c>
      <c r="B19" s="54" t="s">
        <v>167</v>
      </c>
      <c r="C19" s="54">
        <v>1</v>
      </c>
      <c r="D19" s="55">
        <v>70</v>
      </c>
      <c r="E19" s="55">
        <v>70</v>
      </c>
      <c r="F19" s="55">
        <v>70</v>
      </c>
    </row>
    <row r="20" spans="1:6" x14ac:dyDescent="0.25">
      <c r="A20" s="2" t="s">
        <v>396</v>
      </c>
      <c r="B20" s="54" t="s">
        <v>168</v>
      </c>
      <c r="C20" s="54">
        <v>1</v>
      </c>
      <c r="D20" s="54">
        <v>68</v>
      </c>
      <c r="E20" s="54">
        <v>68</v>
      </c>
      <c r="F20" s="54">
        <v>68</v>
      </c>
    </row>
    <row r="21" spans="1:6" x14ac:dyDescent="0.25">
      <c r="A21" s="2" t="s">
        <v>108</v>
      </c>
      <c r="B21" s="54" t="s">
        <v>168</v>
      </c>
      <c r="C21" s="54">
        <v>1</v>
      </c>
      <c r="D21" s="54">
        <v>68</v>
      </c>
      <c r="E21" s="54">
        <v>68</v>
      </c>
      <c r="F21" s="54">
        <v>68</v>
      </c>
    </row>
    <row r="22" spans="1:6" x14ac:dyDescent="0.25">
      <c r="A22" s="2" t="s">
        <v>109</v>
      </c>
      <c r="B22" s="54" t="s">
        <v>168</v>
      </c>
      <c r="C22" s="54">
        <v>1</v>
      </c>
      <c r="D22" s="54">
        <v>68</v>
      </c>
      <c r="E22" s="54">
        <v>68</v>
      </c>
      <c r="F22" s="54">
        <v>68</v>
      </c>
    </row>
    <row r="23" spans="1:6" x14ac:dyDescent="0.25">
      <c r="A23" s="2" t="s">
        <v>110</v>
      </c>
      <c r="B23" s="54" t="s">
        <v>168</v>
      </c>
      <c r="C23" s="54">
        <v>1</v>
      </c>
      <c r="D23" s="54">
        <v>68</v>
      </c>
      <c r="E23" s="54">
        <v>68</v>
      </c>
      <c r="F23" s="54">
        <v>68</v>
      </c>
    </row>
    <row r="24" spans="1:6" x14ac:dyDescent="0.25">
      <c r="A24" s="2" t="s">
        <v>111</v>
      </c>
      <c r="B24" s="54" t="s">
        <v>168</v>
      </c>
      <c r="C24" s="54">
        <v>1</v>
      </c>
      <c r="D24" s="54">
        <v>68</v>
      </c>
      <c r="E24" s="54">
        <v>68</v>
      </c>
      <c r="F24" s="54">
        <v>68</v>
      </c>
    </row>
    <row r="25" spans="1:6" x14ac:dyDescent="0.25">
      <c r="A25" s="2" t="s">
        <v>112</v>
      </c>
      <c r="B25" s="54" t="s">
        <v>168</v>
      </c>
      <c r="C25" s="54">
        <v>1</v>
      </c>
      <c r="D25" s="54">
        <v>68</v>
      </c>
      <c r="E25" s="54">
        <v>68</v>
      </c>
      <c r="F25" s="54">
        <v>68</v>
      </c>
    </row>
    <row r="26" spans="1:6" x14ac:dyDescent="0.25">
      <c r="A26" s="2" t="s">
        <v>396</v>
      </c>
      <c r="B26" s="54" t="s">
        <v>165</v>
      </c>
      <c r="C26" s="54">
        <v>2</v>
      </c>
      <c r="D26" s="54">
        <v>58</v>
      </c>
      <c r="E26" s="55">
        <v>55.099999999999994</v>
      </c>
      <c r="F26" s="55">
        <v>49.3</v>
      </c>
    </row>
    <row r="27" spans="1:6" x14ac:dyDescent="0.25">
      <c r="A27" s="2" t="s">
        <v>108</v>
      </c>
      <c r="B27" s="54" t="s">
        <v>165</v>
      </c>
      <c r="C27" s="54">
        <v>2</v>
      </c>
      <c r="D27" s="54">
        <v>58</v>
      </c>
      <c r="E27" s="55">
        <v>55.099999999999994</v>
      </c>
      <c r="F27" s="55">
        <v>49.3</v>
      </c>
    </row>
    <row r="28" spans="1:6" x14ac:dyDescent="0.25">
      <c r="A28" s="2" t="s">
        <v>109</v>
      </c>
      <c r="B28" s="54" t="s">
        <v>165</v>
      </c>
      <c r="C28" s="54">
        <v>2</v>
      </c>
      <c r="D28" s="54">
        <v>58</v>
      </c>
      <c r="E28" s="55">
        <v>55.099999999999994</v>
      </c>
      <c r="F28" s="55">
        <v>49.3</v>
      </c>
    </row>
    <row r="29" spans="1:6" x14ac:dyDescent="0.25">
      <c r="A29" s="2" t="s">
        <v>110</v>
      </c>
      <c r="B29" s="54" t="s">
        <v>165</v>
      </c>
      <c r="C29" s="54">
        <v>2</v>
      </c>
      <c r="D29" s="54">
        <v>58</v>
      </c>
      <c r="E29" s="55">
        <v>55.099999999999994</v>
      </c>
      <c r="F29" s="55">
        <v>49.3</v>
      </c>
    </row>
    <row r="30" spans="1:6" x14ac:dyDescent="0.25">
      <c r="A30" s="2" t="s">
        <v>111</v>
      </c>
      <c r="B30" s="54" t="s">
        <v>165</v>
      </c>
      <c r="C30" s="54">
        <v>2</v>
      </c>
      <c r="D30" s="54">
        <v>58</v>
      </c>
      <c r="E30" s="55">
        <v>55.099999999999994</v>
      </c>
      <c r="F30" s="55">
        <v>49.3</v>
      </c>
    </row>
    <row r="31" spans="1:6" x14ac:dyDescent="0.25">
      <c r="A31" s="2" t="s">
        <v>112</v>
      </c>
      <c r="B31" s="54" t="s">
        <v>165</v>
      </c>
      <c r="C31" s="54">
        <v>2</v>
      </c>
      <c r="D31" s="54">
        <v>58</v>
      </c>
      <c r="E31" s="55">
        <v>55.099999999999994</v>
      </c>
      <c r="F31" s="55">
        <v>49.3</v>
      </c>
    </row>
    <row r="32" spans="1:6" x14ac:dyDescent="0.25">
      <c r="A32" s="2" t="s">
        <v>396</v>
      </c>
      <c r="B32" s="54" t="s">
        <v>166</v>
      </c>
      <c r="C32" s="54">
        <v>2</v>
      </c>
      <c r="D32" s="54">
        <v>56</v>
      </c>
      <c r="E32" s="55">
        <v>53.199999999999996</v>
      </c>
      <c r="F32" s="55">
        <v>47.6</v>
      </c>
    </row>
    <row r="33" spans="1:6" x14ac:dyDescent="0.25">
      <c r="A33" s="2" t="s">
        <v>108</v>
      </c>
      <c r="B33" s="54" t="s">
        <v>166</v>
      </c>
      <c r="C33" s="54">
        <v>2</v>
      </c>
      <c r="D33" s="54">
        <v>56</v>
      </c>
      <c r="E33" s="55">
        <v>53.199999999999996</v>
      </c>
      <c r="F33" s="55">
        <v>47.6</v>
      </c>
    </row>
    <row r="34" spans="1:6" x14ac:dyDescent="0.25">
      <c r="A34" s="2" t="s">
        <v>109</v>
      </c>
      <c r="B34" s="54" t="s">
        <v>166</v>
      </c>
      <c r="C34" s="54">
        <v>2</v>
      </c>
      <c r="D34" s="54">
        <v>56</v>
      </c>
      <c r="E34" s="55">
        <v>53.199999999999996</v>
      </c>
      <c r="F34" s="55">
        <v>47.6</v>
      </c>
    </row>
    <row r="35" spans="1:6" x14ac:dyDescent="0.25">
      <c r="A35" s="2" t="s">
        <v>110</v>
      </c>
      <c r="B35" s="54" t="s">
        <v>166</v>
      </c>
      <c r="C35" s="54">
        <v>2</v>
      </c>
      <c r="D35" s="54">
        <v>56</v>
      </c>
      <c r="E35" s="55">
        <v>53.199999999999996</v>
      </c>
      <c r="F35" s="55">
        <v>47.6</v>
      </c>
    </row>
    <row r="36" spans="1:6" x14ac:dyDescent="0.25">
      <c r="A36" s="2" t="s">
        <v>111</v>
      </c>
      <c r="B36" s="54" t="s">
        <v>166</v>
      </c>
      <c r="C36" s="54">
        <v>2</v>
      </c>
      <c r="D36" s="54">
        <v>56</v>
      </c>
      <c r="E36" s="55">
        <v>53.199999999999996</v>
      </c>
      <c r="F36" s="55">
        <v>47.6</v>
      </c>
    </row>
    <row r="37" spans="1:6" x14ac:dyDescent="0.25">
      <c r="A37" s="2" t="s">
        <v>112</v>
      </c>
      <c r="B37" s="54" t="s">
        <v>166</v>
      </c>
      <c r="C37" s="54">
        <v>2</v>
      </c>
      <c r="D37" s="54">
        <v>56</v>
      </c>
      <c r="E37" s="55">
        <v>53.199999999999996</v>
      </c>
      <c r="F37" s="55">
        <v>47.6</v>
      </c>
    </row>
    <row r="38" spans="1:6" x14ac:dyDescent="0.25">
      <c r="A38" s="2" t="s">
        <v>396</v>
      </c>
      <c r="B38" s="54" t="s">
        <v>167</v>
      </c>
      <c r="C38" s="54">
        <v>2</v>
      </c>
      <c r="D38" s="55">
        <v>54</v>
      </c>
      <c r="E38" s="55">
        <v>51.3</v>
      </c>
      <c r="F38" s="55">
        <v>45.9</v>
      </c>
    </row>
    <row r="39" spans="1:6" x14ac:dyDescent="0.25">
      <c r="A39" s="2" t="s">
        <v>108</v>
      </c>
      <c r="B39" s="54" t="s">
        <v>167</v>
      </c>
      <c r="C39" s="54">
        <v>2</v>
      </c>
      <c r="D39" s="55">
        <v>54</v>
      </c>
      <c r="E39" s="55">
        <v>51.3</v>
      </c>
      <c r="F39" s="55">
        <v>45.9</v>
      </c>
    </row>
    <row r="40" spans="1:6" x14ac:dyDescent="0.25">
      <c r="A40" s="2" t="s">
        <v>109</v>
      </c>
      <c r="B40" s="54" t="s">
        <v>167</v>
      </c>
      <c r="C40" s="54">
        <v>2</v>
      </c>
      <c r="D40" s="55">
        <v>54</v>
      </c>
      <c r="E40" s="55">
        <v>51.3</v>
      </c>
      <c r="F40" s="55">
        <v>45.9</v>
      </c>
    </row>
    <row r="41" spans="1:6" x14ac:dyDescent="0.25">
      <c r="A41" s="2" t="s">
        <v>110</v>
      </c>
      <c r="B41" s="54" t="s">
        <v>167</v>
      </c>
      <c r="C41" s="54">
        <v>2</v>
      </c>
      <c r="D41" s="55">
        <v>54</v>
      </c>
      <c r="E41" s="55">
        <v>51.3</v>
      </c>
      <c r="F41" s="55">
        <v>45.9</v>
      </c>
    </row>
    <row r="42" spans="1:6" x14ac:dyDescent="0.25">
      <c r="A42" s="2" t="s">
        <v>111</v>
      </c>
      <c r="B42" s="54" t="s">
        <v>167</v>
      </c>
      <c r="C42" s="54">
        <v>2</v>
      </c>
      <c r="D42" s="55">
        <v>54</v>
      </c>
      <c r="E42" s="55">
        <v>51.3</v>
      </c>
      <c r="F42" s="55">
        <v>45.9</v>
      </c>
    </row>
    <row r="43" spans="1:6" x14ac:dyDescent="0.25">
      <c r="A43" s="2" t="s">
        <v>112</v>
      </c>
      <c r="B43" s="54" t="s">
        <v>167</v>
      </c>
      <c r="C43" s="54">
        <v>2</v>
      </c>
      <c r="D43" s="55">
        <v>54</v>
      </c>
      <c r="E43" s="55">
        <v>51.3</v>
      </c>
      <c r="F43" s="55">
        <v>45.9</v>
      </c>
    </row>
    <row r="44" spans="1:6" x14ac:dyDescent="0.25">
      <c r="A44" s="2" t="s">
        <v>396</v>
      </c>
      <c r="B44" s="54" t="s">
        <v>168</v>
      </c>
      <c r="C44" s="54">
        <v>2</v>
      </c>
      <c r="D44" s="54">
        <v>52</v>
      </c>
      <c r="E44" s="55">
        <v>49.4</v>
      </c>
      <c r="F44" s="55">
        <v>44.199999999999996</v>
      </c>
    </row>
    <row r="45" spans="1:6" x14ac:dyDescent="0.25">
      <c r="A45" s="2" t="s">
        <v>108</v>
      </c>
      <c r="B45" s="54" t="s">
        <v>168</v>
      </c>
      <c r="C45" s="54">
        <v>2</v>
      </c>
      <c r="D45" s="54">
        <v>52</v>
      </c>
      <c r="E45" s="55">
        <v>49.4</v>
      </c>
      <c r="F45" s="55">
        <v>44.199999999999996</v>
      </c>
    </row>
    <row r="46" spans="1:6" x14ac:dyDescent="0.25">
      <c r="A46" s="2" t="s">
        <v>109</v>
      </c>
      <c r="B46" s="54" t="s">
        <v>168</v>
      </c>
      <c r="C46" s="54">
        <v>2</v>
      </c>
      <c r="D46" s="54">
        <v>52</v>
      </c>
      <c r="E46" s="55">
        <v>49.4</v>
      </c>
      <c r="F46" s="55">
        <v>44.199999999999996</v>
      </c>
    </row>
    <row r="47" spans="1:6" x14ac:dyDescent="0.25">
      <c r="A47" s="2" t="s">
        <v>110</v>
      </c>
      <c r="B47" s="54" t="s">
        <v>168</v>
      </c>
      <c r="C47" s="54">
        <v>2</v>
      </c>
      <c r="D47" s="54">
        <v>52</v>
      </c>
      <c r="E47" s="55">
        <v>49.4</v>
      </c>
      <c r="F47" s="55">
        <v>44.199999999999996</v>
      </c>
    </row>
    <row r="48" spans="1:6" x14ac:dyDescent="0.25">
      <c r="A48" s="2" t="s">
        <v>111</v>
      </c>
      <c r="B48" s="54" t="s">
        <v>168</v>
      </c>
      <c r="C48" s="54">
        <v>2</v>
      </c>
      <c r="D48" s="54">
        <v>52</v>
      </c>
      <c r="E48" s="55">
        <v>49.4</v>
      </c>
      <c r="F48" s="55">
        <v>44.199999999999996</v>
      </c>
    </row>
    <row r="49" spans="1:6" x14ac:dyDescent="0.25">
      <c r="A49" s="2" t="s">
        <v>112</v>
      </c>
      <c r="B49" s="54" t="s">
        <v>168</v>
      </c>
      <c r="C49" s="54">
        <v>2</v>
      </c>
      <c r="D49" s="54">
        <v>52</v>
      </c>
      <c r="E49" s="55">
        <v>49.4</v>
      </c>
      <c r="F49" s="55">
        <v>44.199999999999996</v>
      </c>
    </row>
    <row r="50" spans="1:6" x14ac:dyDescent="0.25">
      <c r="A50" s="2" t="s">
        <v>396</v>
      </c>
      <c r="B50" s="54" t="s">
        <v>165</v>
      </c>
      <c r="C50" s="54">
        <v>3</v>
      </c>
      <c r="D50" s="54">
        <v>48</v>
      </c>
      <c r="E50" s="55">
        <v>45.599999999999994</v>
      </c>
      <c r="F50" s="55">
        <v>40.799999999999997</v>
      </c>
    </row>
    <row r="51" spans="1:6" x14ac:dyDescent="0.25">
      <c r="A51" s="2" t="s">
        <v>108</v>
      </c>
      <c r="B51" s="54" t="s">
        <v>165</v>
      </c>
      <c r="C51" s="54">
        <v>3</v>
      </c>
      <c r="D51" s="54">
        <v>48</v>
      </c>
      <c r="E51" s="55">
        <v>45.599999999999994</v>
      </c>
      <c r="F51" s="55">
        <v>40.799999999999997</v>
      </c>
    </row>
    <row r="52" spans="1:6" x14ac:dyDescent="0.25">
      <c r="A52" s="2" t="s">
        <v>109</v>
      </c>
      <c r="B52" s="54" t="s">
        <v>165</v>
      </c>
      <c r="C52" s="54">
        <v>3</v>
      </c>
      <c r="D52" s="54">
        <v>48</v>
      </c>
      <c r="E52" s="55">
        <v>45.599999999999994</v>
      </c>
      <c r="F52" s="55">
        <v>40.799999999999997</v>
      </c>
    </row>
    <row r="53" spans="1:6" x14ac:dyDescent="0.25">
      <c r="A53" s="2" t="s">
        <v>110</v>
      </c>
      <c r="B53" s="54" t="s">
        <v>165</v>
      </c>
      <c r="C53" s="54">
        <v>3</v>
      </c>
      <c r="D53" s="54">
        <v>48</v>
      </c>
      <c r="E53" s="55">
        <v>45.599999999999994</v>
      </c>
      <c r="F53" s="55">
        <v>40.799999999999997</v>
      </c>
    </row>
    <row r="54" spans="1:6" x14ac:dyDescent="0.25">
      <c r="A54" s="2" t="s">
        <v>111</v>
      </c>
      <c r="B54" s="54" t="s">
        <v>165</v>
      </c>
      <c r="C54" s="54">
        <v>3</v>
      </c>
      <c r="D54" s="54">
        <v>48</v>
      </c>
      <c r="E54" s="55">
        <v>45.599999999999994</v>
      </c>
      <c r="F54" s="55">
        <v>40.799999999999997</v>
      </c>
    </row>
    <row r="55" spans="1:6" x14ac:dyDescent="0.25">
      <c r="A55" s="2" t="s">
        <v>112</v>
      </c>
      <c r="B55" s="54" t="s">
        <v>165</v>
      </c>
      <c r="C55" s="54">
        <v>3</v>
      </c>
      <c r="D55" s="54">
        <v>48</v>
      </c>
      <c r="E55" s="55">
        <v>45.599999999999994</v>
      </c>
      <c r="F55" s="55">
        <v>40.799999999999997</v>
      </c>
    </row>
    <row r="56" spans="1:6" x14ac:dyDescent="0.25">
      <c r="A56" s="2" t="s">
        <v>396</v>
      </c>
      <c r="B56" s="54" t="s">
        <v>166</v>
      </c>
      <c r="C56" s="54">
        <v>3</v>
      </c>
      <c r="D56" s="54">
        <v>46</v>
      </c>
      <c r="E56" s="55">
        <v>43.699999999999996</v>
      </c>
      <c r="F56" s="55">
        <v>39.1</v>
      </c>
    </row>
    <row r="57" spans="1:6" x14ac:dyDescent="0.25">
      <c r="A57" s="2" t="s">
        <v>108</v>
      </c>
      <c r="B57" s="54" t="s">
        <v>166</v>
      </c>
      <c r="C57" s="54">
        <v>3</v>
      </c>
      <c r="D57" s="54">
        <v>46</v>
      </c>
      <c r="E57" s="55">
        <v>43.699999999999996</v>
      </c>
      <c r="F57" s="55">
        <v>39.1</v>
      </c>
    </row>
    <row r="58" spans="1:6" x14ac:dyDescent="0.25">
      <c r="A58" s="2" t="s">
        <v>109</v>
      </c>
      <c r="B58" s="54" t="s">
        <v>166</v>
      </c>
      <c r="C58" s="54">
        <v>3</v>
      </c>
      <c r="D58" s="54">
        <v>46</v>
      </c>
      <c r="E58" s="55">
        <v>43.699999999999996</v>
      </c>
      <c r="F58" s="55">
        <v>39.1</v>
      </c>
    </row>
    <row r="59" spans="1:6" x14ac:dyDescent="0.25">
      <c r="A59" s="2" t="s">
        <v>110</v>
      </c>
      <c r="B59" s="54" t="s">
        <v>166</v>
      </c>
      <c r="C59" s="54">
        <v>3</v>
      </c>
      <c r="D59" s="54">
        <v>46</v>
      </c>
      <c r="E59" s="55">
        <v>43.699999999999996</v>
      </c>
      <c r="F59" s="55">
        <v>39.1</v>
      </c>
    </row>
    <row r="60" spans="1:6" x14ac:dyDescent="0.25">
      <c r="A60" s="2" t="s">
        <v>111</v>
      </c>
      <c r="B60" s="54" t="s">
        <v>166</v>
      </c>
      <c r="C60" s="54">
        <v>3</v>
      </c>
      <c r="D60" s="54">
        <v>46</v>
      </c>
      <c r="E60" s="55">
        <v>43.699999999999996</v>
      </c>
      <c r="F60" s="55">
        <v>39.1</v>
      </c>
    </row>
    <row r="61" spans="1:6" x14ac:dyDescent="0.25">
      <c r="A61" s="2" t="s">
        <v>112</v>
      </c>
      <c r="B61" s="54" t="s">
        <v>166</v>
      </c>
      <c r="C61" s="54">
        <v>3</v>
      </c>
      <c r="D61" s="54">
        <v>46</v>
      </c>
      <c r="E61" s="55">
        <v>43.699999999999996</v>
      </c>
      <c r="F61" s="55">
        <v>39.1</v>
      </c>
    </row>
    <row r="62" spans="1:6" x14ac:dyDescent="0.25">
      <c r="A62" s="2" t="s">
        <v>396</v>
      </c>
      <c r="B62" s="54" t="s">
        <v>167</v>
      </c>
      <c r="C62" s="54">
        <v>3</v>
      </c>
      <c r="D62" s="55">
        <v>44</v>
      </c>
      <c r="E62" s="55">
        <v>41.8</v>
      </c>
      <c r="F62" s="55">
        <v>37.4</v>
      </c>
    </row>
    <row r="63" spans="1:6" x14ac:dyDescent="0.25">
      <c r="A63" s="2" t="s">
        <v>108</v>
      </c>
      <c r="B63" s="54" t="s">
        <v>167</v>
      </c>
      <c r="C63" s="54">
        <v>3</v>
      </c>
      <c r="D63" s="55">
        <v>44</v>
      </c>
      <c r="E63" s="55">
        <v>41.8</v>
      </c>
      <c r="F63" s="55">
        <v>37.4</v>
      </c>
    </row>
    <row r="64" spans="1:6" x14ac:dyDescent="0.25">
      <c r="A64" s="2" t="s">
        <v>109</v>
      </c>
      <c r="B64" s="54" t="s">
        <v>167</v>
      </c>
      <c r="C64" s="54">
        <v>3</v>
      </c>
      <c r="D64" s="55">
        <v>44</v>
      </c>
      <c r="E64" s="55">
        <v>41.8</v>
      </c>
      <c r="F64" s="55">
        <v>37.4</v>
      </c>
    </row>
    <row r="65" spans="1:6" x14ac:dyDescent="0.25">
      <c r="A65" s="2" t="s">
        <v>110</v>
      </c>
      <c r="B65" s="54" t="s">
        <v>167</v>
      </c>
      <c r="C65" s="54">
        <v>3</v>
      </c>
      <c r="D65" s="55">
        <v>44</v>
      </c>
      <c r="E65" s="55">
        <v>41.8</v>
      </c>
      <c r="F65" s="55">
        <v>37.4</v>
      </c>
    </row>
    <row r="66" spans="1:6" x14ac:dyDescent="0.25">
      <c r="A66" s="2" t="s">
        <v>111</v>
      </c>
      <c r="B66" s="54" t="s">
        <v>167</v>
      </c>
      <c r="C66" s="54">
        <v>3</v>
      </c>
      <c r="D66" s="55">
        <v>44</v>
      </c>
      <c r="E66" s="55">
        <v>41.8</v>
      </c>
      <c r="F66" s="55">
        <v>37.4</v>
      </c>
    </row>
    <row r="67" spans="1:6" x14ac:dyDescent="0.25">
      <c r="A67" s="2" t="s">
        <v>112</v>
      </c>
      <c r="B67" s="54" t="s">
        <v>167</v>
      </c>
      <c r="C67" s="54">
        <v>3</v>
      </c>
      <c r="D67" s="55">
        <v>44</v>
      </c>
      <c r="E67" s="55">
        <v>41.8</v>
      </c>
      <c r="F67" s="55">
        <v>37.4</v>
      </c>
    </row>
    <row r="68" spans="1:6" x14ac:dyDescent="0.25">
      <c r="A68" s="2" t="s">
        <v>396</v>
      </c>
      <c r="B68" s="54" t="s">
        <v>168</v>
      </c>
      <c r="C68" s="54">
        <v>3</v>
      </c>
      <c r="D68" s="55">
        <v>42</v>
      </c>
      <c r="E68" s="55">
        <v>39.9</v>
      </c>
      <c r="F68" s="55">
        <v>35.699999999999996</v>
      </c>
    </row>
    <row r="69" spans="1:6" x14ac:dyDescent="0.25">
      <c r="A69" s="2" t="s">
        <v>108</v>
      </c>
      <c r="B69" s="54" t="s">
        <v>168</v>
      </c>
      <c r="C69" s="54">
        <v>3</v>
      </c>
      <c r="D69" s="55">
        <v>42</v>
      </c>
      <c r="E69" s="55">
        <v>39.9</v>
      </c>
      <c r="F69" s="55">
        <v>35.699999999999996</v>
      </c>
    </row>
    <row r="70" spans="1:6" x14ac:dyDescent="0.25">
      <c r="A70" s="2" t="s">
        <v>109</v>
      </c>
      <c r="B70" s="54" t="s">
        <v>168</v>
      </c>
      <c r="C70" s="54">
        <v>3</v>
      </c>
      <c r="D70" s="55">
        <v>42</v>
      </c>
      <c r="E70" s="55">
        <v>39.9</v>
      </c>
      <c r="F70" s="55">
        <v>35.699999999999996</v>
      </c>
    </row>
    <row r="71" spans="1:6" x14ac:dyDescent="0.25">
      <c r="A71" s="2" t="s">
        <v>110</v>
      </c>
      <c r="B71" s="54" t="s">
        <v>168</v>
      </c>
      <c r="C71" s="54">
        <v>3</v>
      </c>
      <c r="D71" s="55">
        <v>42</v>
      </c>
      <c r="E71" s="55">
        <v>39.9</v>
      </c>
      <c r="F71" s="55">
        <v>35.699999999999996</v>
      </c>
    </row>
    <row r="72" spans="1:6" x14ac:dyDescent="0.25">
      <c r="A72" s="2" t="s">
        <v>111</v>
      </c>
      <c r="B72" s="54" t="s">
        <v>168</v>
      </c>
      <c r="C72" s="54">
        <v>3</v>
      </c>
      <c r="D72" s="55">
        <v>42</v>
      </c>
      <c r="E72" s="55">
        <v>39.9</v>
      </c>
      <c r="F72" s="55">
        <v>35.699999999999996</v>
      </c>
    </row>
    <row r="73" spans="1:6" x14ac:dyDescent="0.25">
      <c r="A73" s="2" t="s">
        <v>112</v>
      </c>
      <c r="B73" s="54" t="s">
        <v>168</v>
      </c>
      <c r="C73" s="54">
        <v>3</v>
      </c>
      <c r="D73" s="55">
        <v>42</v>
      </c>
      <c r="E73" s="55">
        <v>39.9</v>
      </c>
      <c r="F73" s="55">
        <v>35.699999999999996</v>
      </c>
    </row>
    <row r="74" spans="1:6" x14ac:dyDescent="0.25">
      <c r="A74" s="2" t="s">
        <v>187</v>
      </c>
      <c r="B74" s="54" t="s">
        <v>165</v>
      </c>
      <c r="C74" s="54">
        <v>1</v>
      </c>
      <c r="D74" s="54">
        <v>76</v>
      </c>
      <c r="E74" s="55">
        <v>72.2</v>
      </c>
      <c r="F74" s="55">
        <v>64.599999999999994</v>
      </c>
    </row>
    <row r="75" spans="1:6" x14ac:dyDescent="0.25">
      <c r="A75" s="2" t="s">
        <v>188</v>
      </c>
      <c r="B75" s="54" t="s">
        <v>165</v>
      </c>
      <c r="C75" s="54">
        <v>1</v>
      </c>
      <c r="D75" s="54">
        <v>76</v>
      </c>
      <c r="E75" s="55">
        <v>72.2</v>
      </c>
      <c r="F75" s="55">
        <v>64.599999999999994</v>
      </c>
    </row>
    <row r="76" spans="1:6" x14ac:dyDescent="0.25">
      <c r="A76" s="2" t="s">
        <v>190</v>
      </c>
      <c r="B76" s="54" t="s">
        <v>165</v>
      </c>
      <c r="C76" s="54">
        <v>1</v>
      </c>
      <c r="D76" s="54">
        <v>76</v>
      </c>
      <c r="E76" s="55">
        <v>72.2</v>
      </c>
      <c r="F76" s="55">
        <v>64.599999999999994</v>
      </c>
    </row>
    <row r="77" spans="1:6" x14ac:dyDescent="0.25">
      <c r="A77" s="2" t="s">
        <v>192</v>
      </c>
      <c r="B77" s="54" t="s">
        <v>165</v>
      </c>
      <c r="C77" s="54">
        <v>1</v>
      </c>
      <c r="D77" s="54">
        <v>76</v>
      </c>
      <c r="E77" s="55">
        <v>72.2</v>
      </c>
      <c r="F77" s="55">
        <v>64.599999999999994</v>
      </c>
    </row>
    <row r="78" spans="1:6" x14ac:dyDescent="0.25">
      <c r="A78" s="2" t="s">
        <v>194</v>
      </c>
      <c r="B78" s="54" t="s">
        <v>165</v>
      </c>
      <c r="C78" s="54">
        <v>1</v>
      </c>
      <c r="D78" s="54">
        <v>76</v>
      </c>
      <c r="E78" s="55">
        <v>72.2</v>
      </c>
      <c r="F78" s="55">
        <v>64.599999999999994</v>
      </c>
    </row>
    <row r="79" spans="1:6" x14ac:dyDescent="0.25">
      <c r="A79" s="2" t="s">
        <v>196</v>
      </c>
      <c r="B79" s="54" t="s">
        <v>165</v>
      </c>
      <c r="C79" s="54">
        <v>1</v>
      </c>
      <c r="D79" s="54">
        <v>76</v>
      </c>
      <c r="E79" s="55">
        <v>72.2</v>
      </c>
      <c r="F79" s="55">
        <v>64.599999999999994</v>
      </c>
    </row>
    <row r="80" spans="1:6" x14ac:dyDescent="0.25">
      <c r="A80" s="2" t="s">
        <v>197</v>
      </c>
      <c r="B80" s="54" t="s">
        <v>165</v>
      </c>
      <c r="C80" s="54">
        <v>1</v>
      </c>
      <c r="D80" s="54">
        <v>76</v>
      </c>
      <c r="E80" s="55">
        <v>72.2</v>
      </c>
      <c r="F80" s="55">
        <v>64.599999999999994</v>
      </c>
    </row>
    <row r="81" spans="1:6" x14ac:dyDescent="0.25">
      <c r="A81" s="2" t="s">
        <v>427</v>
      </c>
      <c r="B81" s="54" t="s">
        <v>165</v>
      </c>
      <c r="C81" s="54">
        <v>1</v>
      </c>
      <c r="D81" s="54">
        <v>76</v>
      </c>
      <c r="E81" s="55">
        <v>72.2</v>
      </c>
      <c r="F81" s="55">
        <v>64.599999999999994</v>
      </c>
    </row>
    <row r="82" spans="1:6" x14ac:dyDescent="0.25">
      <c r="A82" s="2" t="s">
        <v>187</v>
      </c>
      <c r="B82" s="54" t="s">
        <v>166</v>
      </c>
      <c r="C82" s="54">
        <v>1</v>
      </c>
      <c r="D82" s="54">
        <v>72</v>
      </c>
      <c r="E82" s="55">
        <v>68.399999999999991</v>
      </c>
      <c r="F82" s="55">
        <v>61.199999999999996</v>
      </c>
    </row>
    <row r="83" spans="1:6" x14ac:dyDescent="0.25">
      <c r="A83" s="2" t="s">
        <v>188</v>
      </c>
      <c r="B83" s="54" t="s">
        <v>166</v>
      </c>
      <c r="C83" s="54">
        <v>1</v>
      </c>
      <c r="D83" s="54">
        <v>72</v>
      </c>
      <c r="E83" s="55">
        <v>68.399999999999991</v>
      </c>
      <c r="F83" s="55">
        <v>61.199999999999996</v>
      </c>
    </row>
    <row r="84" spans="1:6" x14ac:dyDescent="0.25">
      <c r="A84" s="2" t="s">
        <v>190</v>
      </c>
      <c r="B84" s="54" t="s">
        <v>166</v>
      </c>
      <c r="C84" s="54">
        <v>1</v>
      </c>
      <c r="D84" s="54">
        <v>72</v>
      </c>
      <c r="E84" s="55">
        <v>68.399999999999991</v>
      </c>
      <c r="F84" s="55">
        <v>61.199999999999996</v>
      </c>
    </row>
    <row r="85" spans="1:6" x14ac:dyDescent="0.25">
      <c r="A85" s="2" t="s">
        <v>192</v>
      </c>
      <c r="B85" s="54" t="s">
        <v>166</v>
      </c>
      <c r="C85" s="54">
        <v>1</v>
      </c>
      <c r="D85" s="54">
        <v>72</v>
      </c>
      <c r="E85" s="55">
        <v>68.399999999999991</v>
      </c>
      <c r="F85" s="55">
        <v>61.199999999999996</v>
      </c>
    </row>
    <row r="86" spans="1:6" x14ac:dyDescent="0.25">
      <c r="A86" s="2" t="s">
        <v>194</v>
      </c>
      <c r="B86" s="54" t="s">
        <v>166</v>
      </c>
      <c r="C86" s="54">
        <v>1</v>
      </c>
      <c r="D86" s="54">
        <v>72</v>
      </c>
      <c r="E86" s="55">
        <v>68.399999999999991</v>
      </c>
      <c r="F86" s="55">
        <v>61.199999999999996</v>
      </c>
    </row>
    <row r="87" spans="1:6" x14ac:dyDescent="0.25">
      <c r="A87" s="2" t="s">
        <v>196</v>
      </c>
      <c r="B87" s="54" t="s">
        <v>166</v>
      </c>
      <c r="C87" s="54">
        <v>1</v>
      </c>
      <c r="D87" s="54">
        <v>72</v>
      </c>
      <c r="E87" s="55">
        <v>68.399999999999991</v>
      </c>
      <c r="F87" s="55">
        <v>61.199999999999996</v>
      </c>
    </row>
    <row r="88" spans="1:6" x14ac:dyDescent="0.25">
      <c r="A88" s="2" t="s">
        <v>197</v>
      </c>
      <c r="B88" s="54" t="s">
        <v>166</v>
      </c>
      <c r="C88" s="54">
        <v>1</v>
      </c>
      <c r="D88" s="54">
        <v>72</v>
      </c>
      <c r="E88" s="55">
        <v>68.399999999999991</v>
      </c>
      <c r="F88" s="55">
        <v>61.199999999999996</v>
      </c>
    </row>
    <row r="89" spans="1:6" x14ac:dyDescent="0.25">
      <c r="A89" s="2" t="s">
        <v>427</v>
      </c>
      <c r="B89" s="54" t="s">
        <v>166</v>
      </c>
      <c r="C89" s="54">
        <v>1</v>
      </c>
      <c r="D89" s="54">
        <v>72</v>
      </c>
      <c r="E89" s="55">
        <v>68.399999999999991</v>
      </c>
      <c r="F89" s="55">
        <v>61.199999999999996</v>
      </c>
    </row>
    <row r="90" spans="1:6" x14ac:dyDescent="0.25">
      <c r="A90" s="2" t="s">
        <v>187</v>
      </c>
      <c r="B90" s="54" t="s">
        <v>167</v>
      </c>
      <c r="C90" s="54">
        <v>1</v>
      </c>
      <c r="D90" s="55">
        <v>70</v>
      </c>
      <c r="E90" s="55">
        <v>66.5</v>
      </c>
      <c r="F90" s="55">
        <v>59.5</v>
      </c>
    </row>
    <row r="91" spans="1:6" x14ac:dyDescent="0.25">
      <c r="A91" s="2" t="s">
        <v>188</v>
      </c>
      <c r="B91" s="54" t="s">
        <v>167</v>
      </c>
      <c r="C91" s="54">
        <v>1</v>
      </c>
      <c r="D91" s="55">
        <v>70</v>
      </c>
      <c r="E91" s="55">
        <v>66.5</v>
      </c>
      <c r="F91" s="55">
        <v>59.5</v>
      </c>
    </row>
    <row r="92" spans="1:6" x14ac:dyDescent="0.25">
      <c r="A92" s="2" t="s">
        <v>190</v>
      </c>
      <c r="B92" s="54" t="s">
        <v>167</v>
      </c>
      <c r="C92" s="54">
        <v>1</v>
      </c>
      <c r="D92" s="55">
        <v>70</v>
      </c>
      <c r="E92" s="55">
        <v>66.5</v>
      </c>
      <c r="F92" s="55">
        <v>59.5</v>
      </c>
    </row>
    <row r="93" spans="1:6" x14ac:dyDescent="0.25">
      <c r="A93" s="2" t="s">
        <v>192</v>
      </c>
      <c r="B93" s="54" t="s">
        <v>167</v>
      </c>
      <c r="C93" s="54">
        <v>1</v>
      </c>
      <c r="D93" s="55">
        <v>70</v>
      </c>
      <c r="E93" s="55">
        <v>66.5</v>
      </c>
      <c r="F93" s="55">
        <v>59.5</v>
      </c>
    </row>
    <row r="94" spans="1:6" x14ac:dyDescent="0.25">
      <c r="A94" s="2" t="s">
        <v>194</v>
      </c>
      <c r="B94" s="54" t="s">
        <v>167</v>
      </c>
      <c r="C94" s="54">
        <v>1</v>
      </c>
      <c r="D94" s="55">
        <v>70</v>
      </c>
      <c r="E94" s="55">
        <v>66.5</v>
      </c>
      <c r="F94" s="55">
        <v>59.5</v>
      </c>
    </row>
    <row r="95" spans="1:6" x14ac:dyDescent="0.25">
      <c r="A95" s="2" t="s">
        <v>196</v>
      </c>
      <c r="B95" s="54" t="s">
        <v>167</v>
      </c>
      <c r="C95" s="54">
        <v>1</v>
      </c>
      <c r="D95" s="55">
        <v>70</v>
      </c>
      <c r="E95" s="55">
        <v>66.5</v>
      </c>
      <c r="F95" s="55">
        <v>59.5</v>
      </c>
    </row>
    <row r="96" spans="1:6" x14ac:dyDescent="0.25">
      <c r="A96" s="2" t="s">
        <v>197</v>
      </c>
      <c r="B96" s="54" t="s">
        <v>167</v>
      </c>
      <c r="C96" s="54">
        <v>1</v>
      </c>
      <c r="D96" s="55">
        <v>70</v>
      </c>
      <c r="E96" s="55">
        <v>66.5</v>
      </c>
      <c r="F96" s="55">
        <v>59.5</v>
      </c>
    </row>
    <row r="97" spans="1:6" x14ac:dyDescent="0.25">
      <c r="A97" s="2" t="s">
        <v>427</v>
      </c>
      <c r="B97" s="54" t="s">
        <v>167</v>
      </c>
      <c r="C97" s="54">
        <v>1</v>
      </c>
      <c r="D97" s="55">
        <v>70</v>
      </c>
      <c r="E97" s="55">
        <v>66.5</v>
      </c>
      <c r="F97" s="55">
        <v>59.5</v>
      </c>
    </row>
    <row r="98" spans="1:6" x14ac:dyDescent="0.25">
      <c r="A98" s="2" t="s">
        <v>187</v>
      </c>
      <c r="B98" s="54" t="s">
        <v>168</v>
      </c>
      <c r="C98" s="54">
        <v>1</v>
      </c>
      <c r="D98" s="54">
        <v>68</v>
      </c>
      <c r="E98" s="55">
        <v>64.599999999999994</v>
      </c>
      <c r="F98" s="55">
        <v>57.8</v>
      </c>
    </row>
    <row r="99" spans="1:6" x14ac:dyDescent="0.25">
      <c r="A99" s="2" t="s">
        <v>188</v>
      </c>
      <c r="B99" s="54" t="s">
        <v>168</v>
      </c>
      <c r="C99" s="54">
        <v>1</v>
      </c>
      <c r="D99" s="54">
        <v>68</v>
      </c>
      <c r="E99" s="55">
        <v>64.599999999999994</v>
      </c>
      <c r="F99" s="55">
        <v>57.8</v>
      </c>
    </row>
    <row r="100" spans="1:6" x14ac:dyDescent="0.25">
      <c r="A100" s="2" t="s">
        <v>190</v>
      </c>
      <c r="B100" s="54" t="s">
        <v>168</v>
      </c>
      <c r="C100" s="54">
        <v>1</v>
      </c>
      <c r="D100" s="54">
        <v>68</v>
      </c>
      <c r="E100" s="55">
        <v>64.599999999999994</v>
      </c>
      <c r="F100" s="55">
        <v>57.8</v>
      </c>
    </row>
    <row r="101" spans="1:6" x14ac:dyDescent="0.25">
      <c r="A101" s="2" t="s">
        <v>192</v>
      </c>
      <c r="B101" s="54" t="s">
        <v>168</v>
      </c>
      <c r="C101" s="54">
        <v>1</v>
      </c>
      <c r="D101" s="54">
        <v>68</v>
      </c>
      <c r="E101" s="55">
        <v>64.599999999999994</v>
      </c>
      <c r="F101" s="55">
        <v>57.8</v>
      </c>
    </row>
    <row r="102" spans="1:6" x14ac:dyDescent="0.25">
      <c r="A102" s="2" t="s">
        <v>194</v>
      </c>
      <c r="B102" s="54" t="s">
        <v>168</v>
      </c>
      <c r="C102" s="54">
        <v>1</v>
      </c>
      <c r="D102" s="54">
        <v>68</v>
      </c>
      <c r="E102" s="55">
        <v>64.599999999999994</v>
      </c>
      <c r="F102" s="55">
        <v>57.8</v>
      </c>
    </row>
    <row r="103" spans="1:6" x14ac:dyDescent="0.25">
      <c r="A103" s="2" t="s">
        <v>196</v>
      </c>
      <c r="B103" s="54" t="s">
        <v>168</v>
      </c>
      <c r="C103" s="54">
        <v>1</v>
      </c>
      <c r="D103" s="54">
        <v>68</v>
      </c>
      <c r="E103" s="55">
        <v>64.599999999999994</v>
      </c>
      <c r="F103" s="55">
        <v>57.8</v>
      </c>
    </row>
    <row r="104" spans="1:6" x14ac:dyDescent="0.25">
      <c r="A104" s="2" t="s">
        <v>197</v>
      </c>
      <c r="B104" s="54" t="s">
        <v>168</v>
      </c>
      <c r="C104" s="54">
        <v>1</v>
      </c>
      <c r="D104" s="54">
        <v>68</v>
      </c>
      <c r="E104" s="55">
        <v>64.599999999999994</v>
      </c>
      <c r="F104" s="55">
        <v>57.8</v>
      </c>
    </row>
    <row r="105" spans="1:6" x14ac:dyDescent="0.25">
      <c r="A105" s="2" t="s">
        <v>427</v>
      </c>
      <c r="B105" s="54" t="s">
        <v>168</v>
      </c>
      <c r="C105" s="54">
        <v>1</v>
      </c>
      <c r="D105" s="54">
        <v>68</v>
      </c>
      <c r="E105" s="55">
        <v>64.599999999999994</v>
      </c>
      <c r="F105" s="55">
        <v>57.8</v>
      </c>
    </row>
    <row r="106" spans="1:6" x14ac:dyDescent="0.25">
      <c r="A106" s="2" t="s">
        <v>187</v>
      </c>
      <c r="B106" s="54" t="s">
        <v>165</v>
      </c>
      <c r="C106" s="54">
        <v>2</v>
      </c>
      <c r="D106" s="54">
        <v>58</v>
      </c>
      <c r="E106" s="55">
        <v>55.099999999999994</v>
      </c>
      <c r="F106" s="55">
        <v>49.3</v>
      </c>
    </row>
    <row r="107" spans="1:6" x14ac:dyDescent="0.25">
      <c r="A107" s="2" t="s">
        <v>188</v>
      </c>
      <c r="B107" s="54" t="s">
        <v>165</v>
      </c>
      <c r="C107" s="54">
        <v>2</v>
      </c>
      <c r="D107" s="54">
        <v>58</v>
      </c>
      <c r="E107" s="55">
        <v>55.099999999999994</v>
      </c>
      <c r="F107" s="55">
        <v>49.3</v>
      </c>
    </row>
    <row r="108" spans="1:6" x14ac:dyDescent="0.25">
      <c r="A108" s="2" t="s">
        <v>190</v>
      </c>
      <c r="B108" s="54" t="s">
        <v>165</v>
      </c>
      <c r="C108" s="54">
        <v>2</v>
      </c>
      <c r="D108" s="54">
        <v>58</v>
      </c>
      <c r="E108" s="55">
        <v>55.099999999999994</v>
      </c>
      <c r="F108" s="55">
        <v>49.3</v>
      </c>
    </row>
    <row r="109" spans="1:6" x14ac:dyDescent="0.25">
      <c r="A109" s="2" t="s">
        <v>192</v>
      </c>
      <c r="B109" s="54" t="s">
        <v>165</v>
      </c>
      <c r="C109" s="54">
        <v>2</v>
      </c>
      <c r="D109" s="54">
        <v>58</v>
      </c>
      <c r="E109" s="55">
        <v>55.099999999999994</v>
      </c>
      <c r="F109" s="55">
        <v>49.3</v>
      </c>
    </row>
    <row r="110" spans="1:6" x14ac:dyDescent="0.25">
      <c r="A110" s="2" t="s">
        <v>194</v>
      </c>
      <c r="B110" s="54" t="s">
        <v>165</v>
      </c>
      <c r="C110" s="54">
        <v>2</v>
      </c>
      <c r="D110" s="54">
        <v>58</v>
      </c>
      <c r="E110" s="55">
        <v>55.099999999999994</v>
      </c>
      <c r="F110" s="55">
        <v>49.3</v>
      </c>
    </row>
    <row r="111" spans="1:6" x14ac:dyDescent="0.25">
      <c r="A111" s="2" t="s">
        <v>196</v>
      </c>
      <c r="B111" s="54" t="s">
        <v>165</v>
      </c>
      <c r="C111" s="54">
        <v>2</v>
      </c>
      <c r="D111" s="54">
        <v>58</v>
      </c>
      <c r="E111" s="55">
        <v>55.099999999999994</v>
      </c>
      <c r="F111" s="55">
        <v>49.3</v>
      </c>
    </row>
    <row r="112" spans="1:6" x14ac:dyDescent="0.25">
      <c r="A112" s="2" t="s">
        <v>197</v>
      </c>
      <c r="B112" s="54" t="s">
        <v>165</v>
      </c>
      <c r="C112" s="54">
        <v>2</v>
      </c>
      <c r="D112" s="54">
        <v>58</v>
      </c>
      <c r="E112" s="55">
        <v>55.099999999999994</v>
      </c>
      <c r="F112" s="55">
        <v>49.3</v>
      </c>
    </row>
    <row r="113" spans="1:6" x14ac:dyDescent="0.25">
      <c r="A113" s="2" t="s">
        <v>427</v>
      </c>
      <c r="B113" s="54" t="s">
        <v>165</v>
      </c>
      <c r="C113" s="54">
        <v>2</v>
      </c>
      <c r="D113" s="54">
        <v>58</v>
      </c>
      <c r="E113" s="55">
        <v>55.099999999999994</v>
      </c>
      <c r="F113" s="55">
        <v>49.3</v>
      </c>
    </row>
    <row r="114" spans="1:6" x14ac:dyDescent="0.25">
      <c r="A114" s="2" t="s">
        <v>187</v>
      </c>
      <c r="B114" s="54" t="s">
        <v>166</v>
      </c>
      <c r="C114" s="54">
        <v>2</v>
      </c>
      <c r="D114" s="54">
        <v>56</v>
      </c>
      <c r="E114" s="55">
        <v>53.199999999999996</v>
      </c>
      <c r="F114" s="55">
        <v>47.6</v>
      </c>
    </row>
    <row r="115" spans="1:6" x14ac:dyDescent="0.25">
      <c r="A115" s="2" t="s">
        <v>188</v>
      </c>
      <c r="B115" s="54" t="s">
        <v>166</v>
      </c>
      <c r="C115" s="54">
        <v>2</v>
      </c>
      <c r="D115" s="54">
        <v>56</v>
      </c>
      <c r="E115" s="55">
        <v>53.199999999999996</v>
      </c>
      <c r="F115" s="55">
        <v>47.6</v>
      </c>
    </row>
    <row r="116" spans="1:6" x14ac:dyDescent="0.25">
      <c r="A116" s="2" t="s">
        <v>190</v>
      </c>
      <c r="B116" s="54" t="s">
        <v>166</v>
      </c>
      <c r="C116" s="54">
        <v>2</v>
      </c>
      <c r="D116" s="54">
        <v>56</v>
      </c>
      <c r="E116" s="55">
        <v>53.199999999999996</v>
      </c>
      <c r="F116" s="55">
        <v>47.6</v>
      </c>
    </row>
    <row r="117" spans="1:6" x14ac:dyDescent="0.25">
      <c r="A117" s="2" t="s">
        <v>192</v>
      </c>
      <c r="B117" s="54" t="s">
        <v>166</v>
      </c>
      <c r="C117" s="54">
        <v>2</v>
      </c>
      <c r="D117" s="54">
        <v>56</v>
      </c>
      <c r="E117" s="55">
        <v>53.199999999999996</v>
      </c>
      <c r="F117" s="55">
        <v>47.6</v>
      </c>
    </row>
    <row r="118" spans="1:6" x14ac:dyDescent="0.25">
      <c r="A118" s="2" t="s">
        <v>194</v>
      </c>
      <c r="B118" s="54" t="s">
        <v>166</v>
      </c>
      <c r="C118" s="54">
        <v>2</v>
      </c>
      <c r="D118" s="55">
        <v>56</v>
      </c>
      <c r="E118" s="55">
        <v>53.199999999999996</v>
      </c>
      <c r="F118" s="55">
        <v>47.6</v>
      </c>
    </row>
    <row r="119" spans="1:6" x14ac:dyDescent="0.25">
      <c r="A119" s="2" t="s">
        <v>196</v>
      </c>
      <c r="B119" s="54" t="s">
        <v>166</v>
      </c>
      <c r="C119" s="54">
        <v>2</v>
      </c>
      <c r="D119" s="55">
        <v>56</v>
      </c>
      <c r="E119" s="55">
        <v>53.199999999999996</v>
      </c>
      <c r="F119" s="55">
        <v>47.6</v>
      </c>
    </row>
    <row r="120" spans="1:6" x14ac:dyDescent="0.25">
      <c r="A120" s="2" t="s">
        <v>197</v>
      </c>
      <c r="B120" s="54" t="s">
        <v>166</v>
      </c>
      <c r="C120" s="54">
        <v>2</v>
      </c>
      <c r="D120" s="55">
        <v>56</v>
      </c>
      <c r="E120" s="55">
        <v>53.199999999999996</v>
      </c>
      <c r="F120" s="55">
        <v>47.6</v>
      </c>
    </row>
    <row r="121" spans="1:6" x14ac:dyDescent="0.25">
      <c r="A121" s="2" t="s">
        <v>427</v>
      </c>
      <c r="B121" s="54" t="s">
        <v>166</v>
      </c>
      <c r="C121" s="54">
        <v>2</v>
      </c>
      <c r="D121" s="55">
        <v>56</v>
      </c>
      <c r="E121" s="55">
        <v>53.199999999999996</v>
      </c>
      <c r="F121" s="55">
        <v>47.6</v>
      </c>
    </row>
    <row r="122" spans="1:6" x14ac:dyDescent="0.25">
      <c r="A122" s="2" t="s">
        <v>187</v>
      </c>
      <c r="B122" s="54" t="s">
        <v>167</v>
      </c>
      <c r="C122" s="54">
        <v>2</v>
      </c>
      <c r="D122" s="54">
        <v>54</v>
      </c>
      <c r="E122" s="55">
        <v>51.3</v>
      </c>
      <c r="F122" s="55">
        <v>45.9</v>
      </c>
    </row>
    <row r="123" spans="1:6" x14ac:dyDescent="0.25">
      <c r="A123" s="2" t="s">
        <v>188</v>
      </c>
      <c r="B123" s="54" t="s">
        <v>167</v>
      </c>
      <c r="C123" s="54">
        <v>2</v>
      </c>
      <c r="D123" s="54">
        <v>54</v>
      </c>
      <c r="E123" s="55">
        <v>51.3</v>
      </c>
      <c r="F123" s="55">
        <v>45.9</v>
      </c>
    </row>
    <row r="124" spans="1:6" x14ac:dyDescent="0.25">
      <c r="A124" s="2" t="s">
        <v>190</v>
      </c>
      <c r="B124" s="54" t="s">
        <v>167</v>
      </c>
      <c r="C124" s="54">
        <v>2</v>
      </c>
      <c r="D124" s="54">
        <v>54</v>
      </c>
      <c r="E124" s="55">
        <v>51.3</v>
      </c>
      <c r="F124" s="55">
        <v>45.9</v>
      </c>
    </row>
    <row r="125" spans="1:6" x14ac:dyDescent="0.25">
      <c r="A125" s="2" t="s">
        <v>192</v>
      </c>
      <c r="B125" s="54" t="s">
        <v>167</v>
      </c>
      <c r="C125" s="54">
        <v>2</v>
      </c>
      <c r="D125" s="54">
        <v>54</v>
      </c>
      <c r="E125" s="55">
        <v>51.3</v>
      </c>
      <c r="F125" s="55">
        <v>45.9</v>
      </c>
    </row>
    <row r="126" spans="1:6" x14ac:dyDescent="0.25">
      <c r="A126" s="2" t="s">
        <v>194</v>
      </c>
      <c r="B126" s="54" t="s">
        <v>167</v>
      </c>
      <c r="C126" s="54">
        <v>2</v>
      </c>
      <c r="D126" s="54">
        <v>54</v>
      </c>
      <c r="E126" s="55">
        <v>51.3</v>
      </c>
      <c r="F126" s="55">
        <v>45.9</v>
      </c>
    </row>
    <row r="127" spans="1:6" x14ac:dyDescent="0.25">
      <c r="A127" s="2" t="s">
        <v>196</v>
      </c>
      <c r="B127" s="54" t="s">
        <v>167</v>
      </c>
      <c r="C127" s="54">
        <v>2</v>
      </c>
      <c r="D127" s="54">
        <v>54</v>
      </c>
      <c r="E127" s="55">
        <v>51.3</v>
      </c>
      <c r="F127" s="55">
        <v>45.9</v>
      </c>
    </row>
    <row r="128" spans="1:6" x14ac:dyDescent="0.25">
      <c r="A128" s="2" t="s">
        <v>197</v>
      </c>
      <c r="B128" s="54" t="s">
        <v>167</v>
      </c>
      <c r="C128" s="54">
        <v>2</v>
      </c>
      <c r="D128" s="54">
        <v>54</v>
      </c>
      <c r="E128" s="55">
        <v>51.3</v>
      </c>
      <c r="F128" s="55">
        <v>45.9</v>
      </c>
    </row>
    <row r="129" spans="1:6" x14ac:dyDescent="0.25">
      <c r="A129" s="2" t="s">
        <v>427</v>
      </c>
      <c r="B129" s="54" t="s">
        <v>167</v>
      </c>
      <c r="C129" s="54">
        <v>2</v>
      </c>
      <c r="D129" s="54">
        <v>54</v>
      </c>
      <c r="E129" s="55">
        <v>51.3</v>
      </c>
      <c r="F129" s="55">
        <v>45.9</v>
      </c>
    </row>
    <row r="130" spans="1:6" x14ac:dyDescent="0.25">
      <c r="A130" s="2" t="s">
        <v>187</v>
      </c>
      <c r="B130" s="54" t="s">
        <v>168</v>
      </c>
      <c r="C130" s="54">
        <v>2</v>
      </c>
      <c r="D130" s="54">
        <v>52</v>
      </c>
      <c r="E130" s="55">
        <v>49.4</v>
      </c>
      <c r="F130" s="55">
        <v>44.199999999999996</v>
      </c>
    </row>
    <row r="131" spans="1:6" x14ac:dyDescent="0.25">
      <c r="A131" s="2" t="s">
        <v>188</v>
      </c>
      <c r="B131" s="54" t="s">
        <v>168</v>
      </c>
      <c r="C131" s="54">
        <v>2</v>
      </c>
      <c r="D131" s="54">
        <v>52</v>
      </c>
      <c r="E131" s="55">
        <v>49.4</v>
      </c>
      <c r="F131" s="55">
        <v>44.199999999999996</v>
      </c>
    </row>
    <row r="132" spans="1:6" x14ac:dyDescent="0.25">
      <c r="A132" s="2" t="s">
        <v>190</v>
      </c>
      <c r="B132" s="54" t="s">
        <v>168</v>
      </c>
      <c r="C132" s="54">
        <v>2</v>
      </c>
      <c r="D132" s="54">
        <v>52</v>
      </c>
      <c r="E132" s="55">
        <v>49.4</v>
      </c>
      <c r="F132" s="55">
        <v>44.199999999999996</v>
      </c>
    </row>
    <row r="133" spans="1:6" x14ac:dyDescent="0.25">
      <c r="A133" s="2" t="s">
        <v>192</v>
      </c>
      <c r="B133" s="54" t="s">
        <v>168</v>
      </c>
      <c r="C133" s="54">
        <v>2</v>
      </c>
      <c r="D133" s="54">
        <v>52</v>
      </c>
      <c r="E133" s="55">
        <v>49.4</v>
      </c>
      <c r="F133" s="55">
        <v>44.199999999999996</v>
      </c>
    </row>
    <row r="134" spans="1:6" x14ac:dyDescent="0.25">
      <c r="A134" s="2" t="s">
        <v>194</v>
      </c>
      <c r="B134" s="54" t="s">
        <v>168</v>
      </c>
      <c r="C134" s="54">
        <v>2</v>
      </c>
      <c r="D134" s="55">
        <v>52</v>
      </c>
      <c r="E134" s="55">
        <v>49.4</v>
      </c>
      <c r="F134" s="55">
        <v>44.199999999999996</v>
      </c>
    </row>
    <row r="135" spans="1:6" x14ac:dyDescent="0.25">
      <c r="A135" s="2" t="s">
        <v>196</v>
      </c>
      <c r="B135" s="54" t="s">
        <v>168</v>
      </c>
      <c r="C135" s="54">
        <v>2</v>
      </c>
      <c r="D135" s="55">
        <v>52</v>
      </c>
      <c r="E135" s="55">
        <v>49.4</v>
      </c>
      <c r="F135" s="55">
        <v>44.199999999999996</v>
      </c>
    </row>
    <row r="136" spans="1:6" x14ac:dyDescent="0.25">
      <c r="A136" s="2" t="s">
        <v>197</v>
      </c>
      <c r="B136" s="54" t="s">
        <v>168</v>
      </c>
      <c r="C136" s="54">
        <v>2</v>
      </c>
      <c r="D136" s="55">
        <v>52</v>
      </c>
      <c r="E136" s="55">
        <v>49.4</v>
      </c>
      <c r="F136" s="55">
        <v>44.199999999999996</v>
      </c>
    </row>
    <row r="137" spans="1:6" x14ac:dyDescent="0.25">
      <c r="A137" s="2" t="s">
        <v>427</v>
      </c>
      <c r="B137" s="54" t="s">
        <v>168</v>
      </c>
      <c r="C137" s="54">
        <v>2</v>
      </c>
      <c r="D137" s="54">
        <v>52</v>
      </c>
      <c r="E137" s="55">
        <v>49.4</v>
      </c>
      <c r="F137" s="55">
        <v>44.199999999999996</v>
      </c>
    </row>
    <row r="138" spans="1:6" x14ac:dyDescent="0.25">
      <c r="A138" s="2" t="s">
        <v>187</v>
      </c>
      <c r="B138" s="54" t="s">
        <v>165</v>
      </c>
      <c r="C138" s="54">
        <v>3</v>
      </c>
      <c r="D138" s="54">
        <v>48</v>
      </c>
      <c r="E138" s="55">
        <v>45.599999999999994</v>
      </c>
      <c r="F138" s="55">
        <v>40.799999999999997</v>
      </c>
    </row>
    <row r="139" spans="1:6" x14ac:dyDescent="0.25">
      <c r="A139" s="2" t="s">
        <v>188</v>
      </c>
      <c r="B139" s="54" t="s">
        <v>165</v>
      </c>
      <c r="C139" s="54">
        <v>3</v>
      </c>
      <c r="D139" s="54">
        <v>48</v>
      </c>
      <c r="E139" s="55">
        <v>45.599999999999994</v>
      </c>
      <c r="F139" s="55">
        <v>40.799999999999997</v>
      </c>
    </row>
    <row r="140" spans="1:6" x14ac:dyDescent="0.25">
      <c r="A140" s="2" t="s">
        <v>190</v>
      </c>
      <c r="B140" s="54" t="s">
        <v>165</v>
      </c>
      <c r="C140" s="54">
        <v>3</v>
      </c>
      <c r="D140" s="54">
        <v>48</v>
      </c>
      <c r="E140" s="55">
        <v>45.599999999999994</v>
      </c>
      <c r="F140" s="55">
        <v>40.799999999999997</v>
      </c>
    </row>
    <row r="141" spans="1:6" x14ac:dyDescent="0.25">
      <c r="A141" s="2" t="s">
        <v>192</v>
      </c>
      <c r="B141" s="54" t="s">
        <v>165</v>
      </c>
      <c r="C141" s="54">
        <v>3</v>
      </c>
      <c r="D141" s="54">
        <v>48</v>
      </c>
      <c r="E141" s="55">
        <v>45.599999999999994</v>
      </c>
      <c r="F141" s="55">
        <v>40.799999999999997</v>
      </c>
    </row>
    <row r="142" spans="1:6" x14ac:dyDescent="0.25">
      <c r="A142" s="2" t="s">
        <v>194</v>
      </c>
      <c r="B142" s="54" t="s">
        <v>165</v>
      </c>
      <c r="C142" s="54">
        <v>3</v>
      </c>
      <c r="D142" s="54">
        <v>48</v>
      </c>
      <c r="E142" s="55">
        <v>45.599999999999994</v>
      </c>
      <c r="F142" s="55">
        <v>40.799999999999997</v>
      </c>
    </row>
    <row r="143" spans="1:6" x14ac:dyDescent="0.25">
      <c r="A143" s="2" t="s">
        <v>196</v>
      </c>
      <c r="B143" s="54" t="s">
        <v>165</v>
      </c>
      <c r="C143" s="54">
        <v>3</v>
      </c>
      <c r="D143" s="54">
        <v>48</v>
      </c>
      <c r="E143" s="55">
        <v>45.599999999999994</v>
      </c>
      <c r="F143" s="55">
        <v>40.799999999999997</v>
      </c>
    </row>
    <row r="144" spans="1:6" x14ac:dyDescent="0.25">
      <c r="A144" s="2" t="s">
        <v>197</v>
      </c>
      <c r="B144" s="54" t="s">
        <v>165</v>
      </c>
      <c r="C144" s="54">
        <v>3</v>
      </c>
      <c r="D144" s="54">
        <v>48</v>
      </c>
      <c r="E144" s="55">
        <v>45.599999999999994</v>
      </c>
      <c r="F144" s="55">
        <v>40.799999999999997</v>
      </c>
    </row>
    <row r="145" spans="1:6" x14ac:dyDescent="0.25">
      <c r="A145" s="2" t="s">
        <v>427</v>
      </c>
      <c r="B145" s="54" t="s">
        <v>165</v>
      </c>
      <c r="C145" s="54">
        <v>3</v>
      </c>
      <c r="D145" s="54">
        <v>48</v>
      </c>
      <c r="E145" s="55">
        <v>45.599999999999994</v>
      </c>
      <c r="F145" s="55">
        <v>40.799999999999997</v>
      </c>
    </row>
    <row r="146" spans="1:6" x14ac:dyDescent="0.25">
      <c r="A146" s="2" t="s">
        <v>187</v>
      </c>
      <c r="B146" s="54" t="s">
        <v>166</v>
      </c>
      <c r="C146" s="54">
        <v>3</v>
      </c>
      <c r="D146" s="54">
        <v>46</v>
      </c>
      <c r="E146" s="55">
        <v>43.699999999999996</v>
      </c>
      <c r="F146" s="55">
        <v>39.1</v>
      </c>
    </row>
    <row r="147" spans="1:6" x14ac:dyDescent="0.25">
      <c r="A147" s="2" t="s">
        <v>188</v>
      </c>
      <c r="B147" s="54" t="s">
        <v>166</v>
      </c>
      <c r="C147" s="54">
        <v>3</v>
      </c>
      <c r="D147" s="54">
        <v>46</v>
      </c>
      <c r="E147" s="55">
        <v>43.699999999999996</v>
      </c>
      <c r="F147" s="55">
        <v>39.1</v>
      </c>
    </row>
    <row r="148" spans="1:6" x14ac:dyDescent="0.25">
      <c r="A148" s="2" t="s">
        <v>190</v>
      </c>
      <c r="B148" s="54" t="s">
        <v>166</v>
      </c>
      <c r="C148" s="54">
        <v>3</v>
      </c>
      <c r="D148" s="54">
        <v>46</v>
      </c>
      <c r="E148" s="55">
        <v>43.699999999999996</v>
      </c>
      <c r="F148" s="55">
        <v>39.1</v>
      </c>
    </row>
    <row r="149" spans="1:6" x14ac:dyDescent="0.25">
      <c r="A149" s="2" t="s">
        <v>192</v>
      </c>
      <c r="B149" s="54" t="s">
        <v>166</v>
      </c>
      <c r="C149" s="54">
        <v>3</v>
      </c>
      <c r="D149" s="54">
        <v>46</v>
      </c>
      <c r="E149" s="55">
        <v>43.699999999999996</v>
      </c>
      <c r="F149" s="55">
        <v>39.1</v>
      </c>
    </row>
    <row r="150" spans="1:6" x14ac:dyDescent="0.25">
      <c r="A150" s="2" t="s">
        <v>194</v>
      </c>
      <c r="B150" s="54" t="s">
        <v>166</v>
      </c>
      <c r="C150" s="54">
        <v>3</v>
      </c>
      <c r="D150" s="55">
        <v>46</v>
      </c>
      <c r="E150" s="55">
        <v>43.699999999999996</v>
      </c>
      <c r="F150" s="55">
        <v>39.1</v>
      </c>
    </row>
    <row r="151" spans="1:6" x14ac:dyDescent="0.25">
      <c r="A151" s="2" t="s">
        <v>196</v>
      </c>
      <c r="B151" s="54" t="s">
        <v>166</v>
      </c>
      <c r="C151" s="54">
        <v>3</v>
      </c>
      <c r="D151" s="55">
        <v>46</v>
      </c>
      <c r="E151" s="55">
        <v>43.699999999999996</v>
      </c>
      <c r="F151" s="55">
        <v>39.1</v>
      </c>
    </row>
    <row r="152" spans="1:6" x14ac:dyDescent="0.25">
      <c r="A152" s="2" t="s">
        <v>197</v>
      </c>
      <c r="B152" s="54" t="s">
        <v>166</v>
      </c>
      <c r="C152" s="54">
        <v>3</v>
      </c>
      <c r="D152" s="55">
        <v>46</v>
      </c>
      <c r="E152" s="55">
        <v>43.699999999999996</v>
      </c>
      <c r="F152" s="55">
        <v>39.1</v>
      </c>
    </row>
    <row r="153" spans="1:6" x14ac:dyDescent="0.25">
      <c r="A153" s="2" t="s">
        <v>427</v>
      </c>
      <c r="B153" s="54" t="s">
        <v>166</v>
      </c>
      <c r="C153" s="54">
        <v>3</v>
      </c>
      <c r="D153" s="54">
        <v>46</v>
      </c>
      <c r="E153" s="55">
        <v>43.699999999999996</v>
      </c>
      <c r="F153" s="55">
        <v>39.1</v>
      </c>
    </row>
    <row r="154" spans="1:6" x14ac:dyDescent="0.25">
      <c r="A154" s="2" t="s">
        <v>187</v>
      </c>
      <c r="B154" s="54" t="s">
        <v>167</v>
      </c>
      <c r="C154" s="54">
        <v>3</v>
      </c>
      <c r="D154" s="54">
        <v>44</v>
      </c>
      <c r="E154" s="55">
        <v>41.8</v>
      </c>
      <c r="F154" s="55">
        <v>37.4</v>
      </c>
    </row>
    <row r="155" spans="1:6" x14ac:dyDescent="0.25">
      <c r="A155" s="2" t="s">
        <v>188</v>
      </c>
      <c r="B155" s="54" t="s">
        <v>167</v>
      </c>
      <c r="C155" s="54">
        <v>3</v>
      </c>
      <c r="D155" s="54">
        <v>44</v>
      </c>
      <c r="E155" s="55">
        <v>41.8</v>
      </c>
      <c r="F155" s="55">
        <v>37.4</v>
      </c>
    </row>
    <row r="156" spans="1:6" x14ac:dyDescent="0.25">
      <c r="A156" s="2" t="s">
        <v>190</v>
      </c>
      <c r="B156" s="54" t="s">
        <v>167</v>
      </c>
      <c r="C156" s="54">
        <v>3</v>
      </c>
      <c r="D156" s="54">
        <v>44</v>
      </c>
      <c r="E156" s="55">
        <v>41.8</v>
      </c>
      <c r="F156" s="55">
        <v>37.4</v>
      </c>
    </row>
    <row r="157" spans="1:6" x14ac:dyDescent="0.25">
      <c r="A157" s="2" t="s">
        <v>192</v>
      </c>
      <c r="B157" s="54" t="s">
        <v>167</v>
      </c>
      <c r="C157" s="54">
        <v>3</v>
      </c>
      <c r="D157" s="54">
        <v>44</v>
      </c>
      <c r="E157" s="55">
        <v>41.8</v>
      </c>
      <c r="F157" s="55">
        <v>37.4</v>
      </c>
    </row>
    <row r="158" spans="1:6" x14ac:dyDescent="0.25">
      <c r="A158" s="2" t="s">
        <v>194</v>
      </c>
      <c r="B158" s="54" t="s">
        <v>167</v>
      </c>
      <c r="C158" s="54">
        <v>3</v>
      </c>
      <c r="D158" s="54">
        <v>44</v>
      </c>
      <c r="E158" s="55">
        <v>41.8</v>
      </c>
      <c r="F158" s="55">
        <v>37.4</v>
      </c>
    </row>
    <row r="159" spans="1:6" x14ac:dyDescent="0.25">
      <c r="A159" s="2" t="s">
        <v>196</v>
      </c>
      <c r="B159" s="54" t="s">
        <v>167</v>
      </c>
      <c r="C159" s="54">
        <v>3</v>
      </c>
      <c r="D159" s="54">
        <v>44</v>
      </c>
      <c r="E159" s="55">
        <v>41.8</v>
      </c>
      <c r="F159" s="55">
        <v>37.4</v>
      </c>
    </row>
    <row r="160" spans="1:6" x14ac:dyDescent="0.25">
      <c r="A160" s="2" t="s">
        <v>197</v>
      </c>
      <c r="B160" s="54" t="s">
        <v>167</v>
      </c>
      <c r="C160" s="54">
        <v>3</v>
      </c>
      <c r="D160" s="54">
        <v>44</v>
      </c>
      <c r="E160" s="55">
        <v>41.8</v>
      </c>
      <c r="F160" s="55">
        <v>37.4</v>
      </c>
    </row>
    <row r="161" spans="1:6" x14ac:dyDescent="0.25">
      <c r="A161" s="2" t="s">
        <v>427</v>
      </c>
      <c r="B161" s="54" t="s">
        <v>167</v>
      </c>
      <c r="C161" s="54">
        <v>3</v>
      </c>
      <c r="D161" s="54">
        <v>44</v>
      </c>
      <c r="E161" s="55">
        <v>41.8</v>
      </c>
      <c r="F161" s="55">
        <v>37.4</v>
      </c>
    </row>
    <row r="162" spans="1:6" x14ac:dyDescent="0.25">
      <c r="A162" s="2" t="s">
        <v>187</v>
      </c>
      <c r="B162" s="54" t="s">
        <v>168</v>
      </c>
      <c r="C162" s="54">
        <v>3</v>
      </c>
      <c r="D162" s="54">
        <v>42</v>
      </c>
      <c r="E162" s="55">
        <v>39.9</v>
      </c>
      <c r="F162" s="55">
        <v>35.699999999999996</v>
      </c>
    </row>
    <row r="163" spans="1:6" x14ac:dyDescent="0.25">
      <c r="A163" s="2" t="s">
        <v>188</v>
      </c>
      <c r="B163" s="54" t="s">
        <v>168</v>
      </c>
      <c r="C163" s="54">
        <v>3</v>
      </c>
      <c r="D163" s="54">
        <v>42</v>
      </c>
      <c r="E163" s="55">
        <v>39.9</v>
      </c>
      <c r="F163" s="55">
        <v>35.699999999999996</v>
      </c>
    </row>
    <row r="164" spans="1:6" x14ac:dyDescent="0.25">
      <c r="A164" s="2" t="s">
        <v>190</v>
      </c>
      <c r="B164" s="54" t="s">
        <v>168</v>
      </c>
      <c r="C164" s="54">
        <v>3</v>
      </c>
      <c r="D164" s="54">
        <v>42</v>
      </c>
      <c r="E164" s="55">
        <v>39.9</v>
      </c>
      <c r="F164" s="55">
        <v>35.699999999999996</v>
      </c>
    </row>
    <row r="165" spans="1:6" x14ac:dyDescent="0.25">
      <c r="A165" s="2" t="s">
        <v>192</v>
      </c>
      <c r="B165" s="54" t="s">
        <v>168</v>
      </c>
      <c r="C165" s="54">
        <v>3</v>
      </c>
      <c r="D165" s="54">
        <v>42</v>
      </c>
      <c r="E165" s="55">
        <v>39.9</v>
      </c>
      <c r="F165" s="55">
        <v>35.699999999999996</v>
      </c>
    </row>
    <row r="166" spans="1:6" x14ac:dyDescent="0.25">
      <c r="A166" s="2" t="s">
        <v>194</v>
      </c>
      <c r="B166" s="54" t="s">
        <v>168</v>
      </c>
      <c r="C166" s="54">
        <v>3</v>
      </c>
      <c r="D166" s="55">
        <v>42</v>
      </c>
      <c r="E166" s="55">
        <v>39.9</v>
      </c>
      <c r="F166" s="55">
        <v>35.699999999999996</v>
      </c>
    </row>
    <row r="167" spans="1:6" x14ac:dyDescent="0.25">
      <c r="A167" s="2" t="s">
        <v>196</v>
      </c>
      <c r="B167" s="54" t="s">
        <v>168</v>
      </c>
      <c r="C167" s="54">
        <v>3</v>
      </c>
      <c r="D167" s="55">
        <v>42</v>
      </c>
      <c r="E167" s="55">
        <v>39.9</v>
      </c>
      <c r="F167" s="55">
        <v>35.699999999999996</v>
      </c>
    </row>
    <row r="168" spans="1:6" x14ac:dyDescent="0.25">
      <c r="A168" s="2" t="s">
        <v>197</v>
      </c>
      <c r="B168" s="54" t="s">
        <v>168</v>
      </c>
      <c r="C168" s="54">
        <v>3</v>
      </c>
      <c r="D168" s="55">
        <v>42</v>
      </c>
      <c r="E168" s="55">
        <v>39.9</v>
      </c>
      <c r="F168" s="55">
        <v>35.699999999999996</v>
      </c>
    </row>
    <row r="169" spans="1:6" x14ac:dyDescent="0.25">
      <c r="A169" s="2" t="s">
        <v>427</v>
      </c>
      <c r="B169" s="54" t="s">
        <v>168</v>
      </c>
      <c r="C169" s="54">
        <v>3</v>
      </c>
      <c r="D169" s="54">
        <v>42</v>
      </c>
      <c r="E169" s="55">
        <v>39.9</v>
      </c>
      <c r="F169" s="55">
        <v>35.699999999999996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bakimrecete</vt:lpstr>
      <vt:lpstr>bakimpaket</vt:lpstr>
      <vt:lpstr>MakineListesi</vt:lpstr>
      <vt:lpstr>yedekparca</vt:lpstr>
      <vt:lpstr>tire</vt:lpstr>
      <vt:lpstr>second_hand_values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Soner Üçdallar</cp:lastModifiedBy>
  <dcterms:created xsi:type="dcterms:W3CDTF">2026-02-13T13:03:28Z</dcterms:created>
  <dcterms:modified xsi:type="dcterms:W3CDTF">2026-08-10T11:58:47Z</dcterms:modified>
</cp:coreProperties>
</file>